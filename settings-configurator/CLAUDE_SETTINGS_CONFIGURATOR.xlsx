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;-0;0"/>
    <numFmt numFmtId="165" formatCode="0&quot;%&quot;"/>
  </numFmts>
  <fonts count="17">
    <font>
      <name val="Calibri"/>
      <family val="2"/>
      <color theme="1"/>
      <sz val="11"/>
      <scheme val="minor"/>
    </font>
    <font>
      <name val="JetBrains Mono"/>
      <b val="1"/>
      <color rgb="003B82F6"/>
      <sz val="14"/>
    </font>
    <font>
      <name val="JetBrains Mono"/>
      <b val="1"/>
      <color rgb="00FFFFFF"/>
      <sz val="10"/>
    </font>
    <font>
      <name val="JetBrains Mono"/>
      <b val="1"/>
      <color rgb="003B82F6"/>
      <sz val="11"/>
    </font>
    <font>
      <name val="JetBrains Mono"/>
      <b val="1"/>
      <color rgb="00000000"/>
      <sz val="10"/>
    </font>
    <font>
      <name val="Arial"/>
      <b val="1"/>
      <color rgb="001E40AF"/>
      <sz val="11"/>
    </font>
    <font>
      <name val="Arial"/>
      <color rgb="00333333"/>
      <sz val="9"/>
    </font>
    <font>
      <name val="JetBrains Mono"/>
      <color rgb="00333333"/>
      <sz val="9"/>
    </font>
    <font>
      <name val="JetBrains Mono"/>
      <b val="1"/>
      <color rgb="00FFFFFF"/>
      <sz val="12"/>
    </font>
    <font>
      <name val="JetBrains Mono"/>
      <b val="1"/>
      <sz val="10"/>
    </font>
    <font>
      <name val="JetBrains Mono"/>
      <b val="1"/>
      <color rgb="00FFFFFF"/>
      <sz val="11"/>
    </font>
    <font>
      <name val="JetBrains Mono"/>
      <b val="1"/>
      <color rgb="001E40AF"/>
      <sz val="12"/>
    </font>
    <font>
      <name val="JetBrains Mono"/>
      <b val="1"/>
      <sz val="12"/>
    </font>
    <font>
      <name val="JetBrains Mono"/>
      <b val="1"/>
      <color rgb="00000000"/>
      <sz val="16"/>
    </font>
    <font>
      <name val="JetBrains Mono"/>
      <b val="1"/>
      <color rgb="003B82F6"/>
      <sz val="12"/>
    </font>
    <font>
      <name val="JetBrains Mono"/>
      <b val="1"/>
      <color rgb="003B82F6"/>
      <sz val="20"/>
    </font>
    <font>
      <name val="Arial"/>
      <i val="1"/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050810"/>
        <bgColor rgb="00050810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FF3CD"/>
        <bgColor rgb="00FFF3CD"/>
      </patternFill>
    </fill>
    <fill>
      <patternFill patternType="solid">
        <fgColor rgb="00065F46"/>
        <bgColor rgb="00065F46"/>
      </patternFill>
    </fill>
    <fill>
      <patternFill patternType="solid">
        <fgColor rgb="001E40AF"/>
        <bgColor rgb="001E40AF"/>
      </patternFill>
    </fill>
    <fill>
      <patternFill patternType="solid">
        <fgColor rgb="00991B1B"/>
        <bgColor rgb="00991B1B"/>
      </patternFill>
    </fill>
    <fill>
      <patternFill patternType="solid">
        <fgColor rgb="0092400E"/>
        <bgColor rgb="0092400E"/>
      </patternFill>
    </fill>
    <fill>
      <patternFill patternType="solid">
        <fgColor rgb="00155E75"/>
        <bgColor rgb="00155E75"/>
      </patternFill>
    </fill>
    <fill>
      <patternFill patternType="solid">
        <fgColor rgb="005B21B6"/>
        <bgColor rgb="005B21B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10" fillId="6" borderId="1" pivotButton="0" quotePrefix="0" xfId="0"/>
    <xf numFmtId="0" fontId="11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7" borderId="1" pivotButton="0" quotePrefix="0" xfId="0"/>
    <xf numFmtId="0" fontId="10" fillId="8" borderId="1" pivotButton="0" quotePrefix="0" xfId="0"/>
    <xf numFmtId="0" fontId="10" fillId="9" borderId="1" pivotButton="0" quotePrefix="0" xfId="0"/>
    <xf numFmtId="0" fontId="10" fillId="10" borderId="1" pivotButton="0" quotePrefix="0" xfId="0"/>
    <xf numFmtId="0" fontId="10" fillId="11" borderId="1" pivotButton="0" quotePrefix="0" xfId="0"/>
    <xf numFmtId="0" fontId="14" fillId="0" borderId="1" pivotButton="0" quotePrefix="0" xfId="0"/>
    <xf numFmtId="165" fontId="15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065F46"/>
          <bgColor rgb="00065F46"/>
        </patternFill>
      </fill>
    </dxf>
    <dxf>
      <font>
        <b val="1"/>
        <color rgb="00FFFFFF"/>
      </font>
      <fill>
        <patternFill patternType="solid">
          <fgColor rgb="001E40AF"/>
          <bgColor rgb="001E40AF"/>
        </patternFill>
      </fill>
    </dxf>
    <dxf>
      <font>
        <b val="1"/>
        <color rgb="00FFFFFF"/>
      </font>
      <fill>
        <patternFill patternType="solid">
          <fgColor rgb="0092400E"/>
          <bgColor rgb="0092400E"/>
        </patternFill>
      </fill>
    </dxf>
    <dxf>
      <font>
        <b val="1"/>
        <color rgb="00FFFFFF"/>
      </font>
      <fill>
        <patternFill patternType="solid">
          <fgColor rgb="00991B1B"/>
          <bgColor rgb="00991B1B"/>
        </patternFill>
      </fill>
    </dxf>
    <dxf>
      <font>
        <b val="1"/>
        <color rgb="00FFFFFF"/>
      </font>
      <fill>
        <patternFill patternType="solid">
          <fgColor rgb="00450A0A"/>
          <bgColor rgb="00450A0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5" customHeight="1">
      <c r="A1" s="1" t="inlineStr">
        <is>
          <t>CLAUDE DEFAULT BEHAVIORAL HEURISTICS CONFIGURATOR</t>
        </is>
      </c>
    </row>
    <row r="2" ht="25" customHeight="1">
      <c r="A2" s="2" t="inlineStr">
        <is>
          <t>SETTING</t>
        </is>
      </c>
      <c r="B2" s="2" t="inlineStr">
        <is>
          <t>YOUR CHOICE (change me)</t>
        </is>
      </c>
      <c r="C2" s="2" t="inlineStr">
        <is>
          <t>WHAT IT DOES</t>
        </is>
      </c>
      <c r="D2" s="3" t="inlineStr">
        <is>
          <t>SPEED</t>
        </is>
      </c>
      <c r="E2" s="3" t="inlineStr">
        <is>
          <t>QUALITY</t>
        </is>
      </c>
      <c r="F2" s="3" t="inlineStr">
        <is>
          <t>ACCURACY</t>
        </is>
      </c>
      <c r="G2" s="3" t="inlineStr">
        <is>
          <t>COST EFF.</t>
        </is>
      </c>
      <c r="H2" s="3" t="inlineStr">
        <is>
          <t>DEPTH</t>
        </is>
      </c>
      <c r="I2" s="3" t="inlineStr">
        <is>
          <t>CREATIVITY</t>
        </is>
      </c>
    </row>
    <row r="3" ht="22" customHeight="1">
      <c r="A3" s="4" t="inlineStr">
        <is>
          <t>MODEL PARAMETERS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 ht="45" customHeight="1">
      <c r="A4" s="6" t="inlineStr">
        <is>
          <t>Temperature</t>
        </is>
      </c>
      <c r="B4" s="7" t="inlineStr">
        <is>
          <t>1.0</t>
        </is>
      </c>
      <c r="C4" s="8" t="inlineStr">
        <is>
          <t>Randomness of output. 0.0=deterministic, 1.0=creative. Range 0.0-1.0. Cannot combine with top_p on Opus 4.6.</t>
        </is>
      </c>
      <c r="D4" s="9">
        <f>IF(B4="0.0",0,IF(B4="0.1",0,IF(B4="0.2",0,IF(B4="0.3",0,IF(B4="0.4",0,IF(B4="0.5",0,IF(B4="0.6",0,IF(B4="0.7",0,IF(B4="0.8",0,IF(B4="0.9",0,IF(B4="1.0",0,0)))))))))))</f>
        <v/>
      </c>
      <c r="E4" s="9">
        <f>IF(B4="0.0",10,IF(B4="0.1",10,IF(B4="0.2",8,IF(B4="0.3",8,IF(B4="0.4",5,IF(B4="0.5",3,IF(B4="0.6",0,IF(B4="0.7",0,IF(B4="0.8",-2,IF(B4="0.9",-5,IF(B4="1.0",-5,0)))))))))))</f>
        <v/>
      </c>
      <c r="F4" s="9">
        <f>IF(B4="0.0",20,IF(B4="0.1",18,IF(B4="0.2",15,IF(B4="0.3",12,IF(B4="0.4",8,IF(B4="0.5",5,IF(B4="0.6",2,IF(B4="0.7",0,IF(B4="0.8",-3,IF(B4="0.9",-5,IF(B4="1.0",-8,0)))))))))))</f>
        <v/>
      </c>
      <c r="G4" s="9">
        <f>IF(B4="0.0",0,IF(B4="0.1",0,IF(B4="0.2",0,IF(B4="0.3",0,IF(B4="0.4",0,IF(B4="0.5",0,IF(B4="0.6",0,IF(B4="0.7",0,IF(B4="0.8",0,IF(B4="0.9",0,IF(B4="1.0",0,0)))))))))))</f>
        <v/>
      </c>
      <c r="H4" s="9">
        <f>IF(B4="0.0",0,IF(B4="0.1",0,IF(B4="0.2",0,IF(B4="0.3",0,IF(B4="0.4",0,IF(B4="0.5",0,IF(B4="0.6",0,IF(B4="0.7",0,IF(B4="0.8",0,IF(B4="0.9",0,IF(B4="1.0",0,0)))))))))))</f>
        <v/>
      </c>
      <c r="I4" s="9">
        <f>IF(B4="0.0",-10,IF(B4="0.1",-8,IF(B4="0.2",-5,IF(B4="0.3",-3,IF(B4="0.4",0,IF(B4="0.5",3,IF(B4="0.6",5,IF(B4="0.7",8,IF(B4="0.8",10,IF(B4="0.9",13,IF(B4="1.0",15,0)))))))))))</f>
        <v/>
      </c>
    </row>
    <row r="5" ht="45" customHeight="1">
      <c r="A5" s="6" t="inlineStr">
        <is>
          <t>Effort Level</t>
        </is>
      </c>
      <c r="B5" s="7" t="inlineStr">
        <is>
          <t>high</t>
        </is>
      </c>
      <c r="C5" s="8" t="inlineStr">
        <is>
          <t>Opus 4.6 adaptive thinking depth. Low=skip thinking. Max=deepest reasoning. Thinking tokens billed as output.</t>
        </is>
      </c>
      <c r="D5" s="9">
        <f>IF(B5="low",30,IF(B5="medium",15,IF(B5="high",0,IF(B5="max",-20,0))))</f>
        <v/>
      </c>
      <c r="E5" s="9">
        <f>IF(B5="low",-25,IF(B5="medium",-10,IF(B5="high",0,IF(B5="max",15,0))))</f>
        <v/>
      </c>
      <c r="F5" s="9">
        <f>IF(B5="low",-20,IF(B5="medium",-5,IF(B5="high",0,IF(B5="max",10,0))))</f>
        <v/>
      </c>
      <c r="G5" s="9">
        <f>IF(B5="low",30,IF(B5="medium",15,IF(B5="high",0,IF(B5="max",-30,0))))</f>
        <v/>
      </c>
      <c r="H5" s="9">
        <f>IF(B5="low",-30,IF(B5="medium",-10,IF(B5="high",10,IF(B5="max",25,0))))</f>
        <v/>
      </c>
      <c r="I5" s="9">
        <f>IF(B5="low",-10,IF(B5="medium",0,IF(B5="high",5,IF(B5="max",10,0))))</f>
        <v/>
      </c>
    </row>
    <row r="6" ht="45" customHeight="1">
      <c r="A6" s="6" t="inlineStr">
        <is>
          <t>Model</t>
        </is>
      </c>
      <c r="B6" s="7" t="inlineStr">
        <is>
          <t>Opus 4.6</t>
        </is>
      </c>
      <c r="C6" s="8" t="inlineStr">
        <is>
          <t>Which model runs. Haiku=$1/$5, Sonnet=$3/$15, Opus=$5/$25, Opus Fast=$30/$150 per MTok.</t>
        </is>
      </c>
      <c r="D6" s="9">
        <f>IF(B6="Haiku 4.5",40,IF(B6="Sonnet 4.6",20,IF(B6="Opus 4.6",0,IF(B6="Opus 4.6 Fast",15,0))))</f>
        <v/>
      </c>
      <c r="E6" s="9">
        <f>IF(B6="Haiku 4.5",-30,IF(B6="Sonnet 4.6",-10,IF(B6="Opus 4.6",0,IF(B6="Opus 4.6 Fast",0,0))))</f>
        <v/>
      </c>
      <c r="F6" s="9">
        <f>IF(B6="Haiku 4.5",-25,IF(B6="Sonnet 4.6",-5,IF(B6="Opus 4.6",0,IF(B6="Opus 4.6 Fast",0,0))))</f>
        <v/>
      </c>
      <c r="G6" s="9">
        <f>IF(B6="Haiku 4.5",40,IF(B6="Sonnet 4.6",20,IF(B6="Opus 4.6",0,IF(B6="Opus 4.6 Fast",-35,0))))</f>
        <v/>
      </c>
      <c r="H6" s="9">
        <f>IF(B6="Haiku 4.5",-30,IF(B6="Sonnet 4.6",-10,IF(B6="Opus 4.6",0,IF(B6="Opus 4.6 Fast",0,0))))</f>
        <v/>
      </c>
      <c r="I6" s="9">
        <f>IF(B6="Haiku 4.5",-15,IF(B6="Sonnet 4.6",-5,IF(B6="Opus 4.6",0,IF(B6="Opus 4.6 Fast",0,0))))</f>
        <v/>
      </c>
    </row>
    <row r="7" ht="45" customHeight="1">
      <c r="A7" s="6" t="inlineStr">
        <is>
          <t>Context Window</t>
        </is>
      </c>
      <c r="B7" s="7" t="inlineStr">
        <is>
          <t>200K</t>
        </is>
      </c>
      <c r="C7" s="8" t="inlineStr">
        <is>
          <t>How much context loaded. 1M beta on Opus 4.6 at standard pricing. Larger=more reference but slower.</t>
        </is>
      </c>
      <c r="D7" s="9">
        <f>IF(B7="32K",10,IF(B7="128K",5,IF(B7="200K",0,IF(B7="500K",-8,IF(B7="1M",-15,0)))))</f>
        <v/>
      </c>
      <c r="E7" s="9">
        <f>IF(B7="32K",-15,IF(B7="128K",-5,IF(B7="200K",0,IF(B7="500K",5,IF(B7="1M",10,0)))))</f>
        <v/>
      </c>
      <c r="F7" s="9">
        <f>IF(B7="32K",-10,IF(B7="128K",-3,IF(B7="200K",0,IF(B7="500K",3,IF(B7="1M",5,0)))))</f>
        <v/>
      </c>
      <c r="G7" s="9">
        <f>IF(B7="32K",15,IF(B7="128K",5,IF(B7="200K",0,IF(B7="500K",-5,IF(B7="1M",-10,0)))))</f>
        <v/>
      </c>
      <c r="H7" s="9">
        <f>IF(B7="32K",-20,IF(B7="128K",-5,IF(B7="200K",0,IF(B7="500K",8,IF(B7="1M",15,0)))))</f>
        <v/>
      </c>
      <c r="I7" s="9">
        <f>IF(B7="32K",0,IF(B7="128K",0,IF(B7="200K",0,IF(B7="500K",0,IF(B7="1M",0,0)))))</f>
        <v/>
      </c>
    </row>
    <row r="8" ht="22" customHeight="1">
      <c r="A8" s="4" t="inlineStr">
        <is>
          <t>FILE READING</t>
        </is>
      </c>
      <c r="B8" s="5" t="n"/>
      <c r="C8" s="5" t="n"/>
      <c r="D8" s="5" t="n"/>
      <c r="E8" s="5" t="n"/>
      <c r="F8" s="5" t="n"/>
      <c r="G8" s="5" t="n"/>
      <c r="H8" s="5" t="n"/>
      <c r="I8" s="5" t="n"/>
    </row>
    <row r="9" ht="45" customHeight="1">
      <c r="A9" s="6" t="inlineStr">
        <is>
          <t>File Read Depth</t>
        </is>
      </c>
      <c r="B9" s="7" t="inlineStr">
        <is>
          <t>head -80</t>
        </is>
      </c>
      <c r="C9" s="8" t="inlineStr">
        <is>
          <t>How many lines read per file. head -80 = first 80 lines only. Full = entire file. Verify = read + cross-check.</t>
        </is>
      </c>
      <c r="D9" s="9">
        <f>IF(B9="head -30",20,IF(B9="head -80",15,IF(B9="head -200",5,IF(B9="Full file (cat)",-15,IF(B9="Full + verify",-25,0)))))</f>
        <v/>
      </c>
      <c r="E9" s="9">
        <f>IF(B9="head -30",-25,IF(B9="head -80",-15,IF(B9="head -200",-5,IF(B9="Full file (cat)",15,IF(B9="Full + verify",25,0)))))</f>
        <v/>
      </c>
      <c r="F9" s="9">
        <f>IF(B9="head -30",-30,IF(B9="head -80",-20,IF(B9="head -200",-5,IF(B9="Full file (cat)",20,IF(B9="Full + verify",30,0)))))</f>
        <v/>
      </c>
      <c r="G9" s="9">
        <f>IF(B9="head -30",10,IF(B9="head -80",5,IF(B9="head -200",0,IF(B9="Full file (cat)",0,IF(B9="Full + verify",0,0)))))</f>
        <v/>
      </c>
      <c r="H9" s="9">
        <f>IF(B9="head -30",-30,IF(B9="head -80",-15,IF(B9="head -200",0,IF(B9="Full file (cat)",20,IF(B9="Full + verify",30,0)))))</f>
        <v/>
      </c>
      <c r="I9" s="9">
        <f>IF(B9="head -30",0,IF(B9="head -80",0,IF(B9="head -200",0,IF(B9="Full file (cat)",0,IF(B9="Full + verify",0,0)))))</f>
        <v/>
      </c>
    </row>
    <row r="10" ht="45" customHeight="1">
      <c r="A10" s="6" t="inlineStr">
        <is>
          <t>Binary Files (XLSX/PDF)</t>
        </is>
      </c>
      <c r="B10" s="7" t="inlineStr">
        <is>
          <t>Skip entirely</t>
        </is>
      </c>
      <c r="C10" s="8" t="inlineStr">
        <is>
          <t>Whether to read XLSX, PDF, images. Skip = ignore binary files. Always = extract and read content.</t>
        </is>
      </c>
      <c r="D10" s="9">
        <f>IF(B10="Skip entirely",10,IF(B10="Read if asked",0,IF(B10="Always extract",-10,0)))</f>
        <v/>
      </c>
      <c r="E10" s="9">
        <f>IF(B10="Skip entirely",-15,IF(B10="Read if asked",0,IF(B10="Always extract",15,0)))</f>
        <v/>
      </c>
      <c r="F10" s="9">
        <f>IF(B10="Skip entirely",-20,IF(B10="Read if asked",0,IF(B10="Always extract",20,0)))</f>
        <v/>
      </c>
      <c r="G10" s="9">
        <f>IF(B10="Skip entirely",0,IF(B10="Read if asked",0,IF(B10="Always extract",0,0)))</f>
        <v/>
      </c>
      <c r="H10" s="9">
        <f>IF(B10="Skip entirely",-15,IF(B10="Read if asked",0,IF(B10="Always extract",15,0)))</f>
        <v/>
      </c>
      <c r="I10" s="9">
        <f>IF(B10="Skip entirely",0,IF(B10="Read if asked",0,IF(B10="Always extract",0,0)))</f>
        <v/>
      </c>
    </row>
    <row r="11" ht="45" customHeight="1">
      <c r="A11" s="6" t="inlineStr">
        <is>
          <t>Similar File Reading</t>
        </is>
      </c>
      <c r="B11" s="7" t="inlineStr">
        <is>
          <t>Read 1, skip rest</t>
        </is>
      </c>
      <c r="C11" s="8" t="inlineStr">
        <is>
          <t>When 11 YAMLs or 27 Python files exist, read 1 and assume rest match? Or read all?</t>
        </is>
      </c>
      <c r="D11" s="9">
        <f>IF(B11="Read 1, skip rest",15,IF(B11="Read 3, sample",5,IF(B11="Read all",-15,0)))</f>
        <v/>
      </c>
      <c r="E11" s="9">
        <f>IF(B11="Read 1, skip rest",-20,IF(B11="Read 3, sample",-5,IF(B11="Read all",20,0)))</f>
        <v/>
      </c>
      <c r="F11" s="9">
        <f>IF(B11="Read 1, skip rest",-25,IF(B11="Read 3, sample",-5,IF(B11="Read all",25,0)))</f>
        <v/>
      </c>
      <c r="G11" s="9">
        <f>IF(B11="Read 1, skip rest",0,IF(B11="Read 3, sample",0,IF(B11="Read all",0,0)))</f>
        <v/>
      </c>
      <c r="H11" s="9">
        <f>IF(B11="Read 1, skip rest",-20,IF(B11="Read 3, sample",0,IF(B11="Read all",20,0)))</f>
        <v/>
      </c>
      <c r="I11" s="9">
        <f>IF(B11="Read 1, skip rest",0,IF(B11="Read 3, sample",0,IF(B11="Read all",0,0)))</f>
        <v/>
      </c>
    </row>
    <row r="12" ht="45" customHeight="1">
      <c r="A12" s="6" t="inlineStr">
        <is>
          <t>Git Clone Depth</t>
        </is>
      </c>
      <c r="B12" s="7" t="inlineStr">
        <is>
          <t>Shallow (depth 1)</t>
        </is>
      </c>
      <c r="C12" s="8" t="inlineStr">
        <is>
          <t>Shallow = latest commit only. Full = all history. Branches = check all branches. Log = read commit history.</t>
        </is>
      </c>
      <c r="D12" s="9">
        <f>IF(B12="Shallow (depth 1)",10,IF(B12="Full clone",0,IF(B12="Full + branches",-5,IF(B12="Full + log + branches",-10,0))))</f>
        <v/>
      </c>
      <c r="E12" s="9">
        <f>IF(B12="Shallow (depth 1)",-10,IF(B12="Full clone",5,IF(B12="Full + branches",10,IF(B12="Full + log + branches",15,0))))</f>
        <v/>
      </c>
      <c r="F12" s="9">
        <f>IF(B12="Shallow (depth 1)",-10,IF(B12="Full clone",0,IF(B12="Full + branches",5,IF(B12="Full + log + branches",10,0))))</f>
        <v/>
      </c>
      <c r="G12" s="9">
        <f>IF(B12="Shallow (depth 1)",0,IF(B12="Full clone",0,IF(B12="Full + branches",0,IF(B12="Full + log + branches",0,0))))</f>
        <v/>
      </c>
      <c r="H12" s="9">
        <f>IF(B12="Shallow (depth 1)",-15,IF(B12="Full clone",0,IF(B12="Full + branches",10,IF(B12="Full + log + branches",15,0))))</f>
        <v/>
      </c>
      <c r="I12" s="9">
        <f>IF(B12="Shallow (depth 1)",0,IF(B12="Full clone",0,IF(B12="Full + branches",0,IF(B12="Full + log + branches",0,0))))</f>
        <v/>
      </c>
    </row>
    <row r="13" ht="22" customHeight="1">
      <c r="A13" s="4" t="inlineStr">
        <is>
          <t>SEARCH &amp; RESEARCH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45" customHeight="1">
      <c r="A14" s="6" t="inlineStr">
        <is>
          <t>Search Queries per Topic</t>
        </is>
      </c>
      <c r="B14" s="7" t="inlineStr">
        <is>
          <t>1-2 (quick)</t>
        </is>
      </c>
      <c r="C14" s="8" t="inlineStr">
        <is>
          <t>How many web searches per topic before responding. More = better coverage but slower.</t>
        </is>
      </c>
      <c r="D14" s="9">
        <f>IF(B14="1-2 (quick)",15,IF(B14="3-5 (standard)",5,IF(B14="5-10 (thorough)",-10,IF(B14="10+ (exhaustive)",-20,0))))</f>
        <v/>
      </c>
      <c r="E14" s="9">
        <f>IF(B14="1-2 (quick)",-15,IF(B14="3-5 (standard)",0,IF(B14="5-10 (thorough)",15,IF(B14="10+ (exhaustive)",20,0))))</f>
        <v/>
      </c>
      <c r="F14" s="9">
        <f>IF(B14="1-2 (quick)",-20,IF(B14="3-5 (standard)",0,IF(B14="5-10 (thorough)",15,IF(B14="10+ (exhaustive)",25,0))))</f>
        <v/>
      </c>
      <c r="G14" s="9">
        <f>IF(B14="1-2 (quick)",0,IF(B14="3-5 (standard)",0,IF(B14="5-10 (thorough)",-5,IF(B14="10+ (exhaustive)",-15,0))))</f>
        <v/>
      </c>
      <c r="H14" s="9">
        <f>IF(B14="1-2 (quick)",-15,IF(B14="3-5 (standard)",0,IF(B14="5-10 (thorough)",15,IF(B14="10+ (exhaustive)",25,0))))</f>
        <v/>
      </c>
      <c r="I14" s="9">
        <f>IF(B14="1-2 (quick)",0,IF(B14="3-5 (standard)",0,IF(B14="5-10 (thorough)",0,IF(B14="10+ (exhaustive)",0,0))))</f>
        <v/>
      </c>
    </row>
    <row r="15" ht="45" customHeight="1">
      <c r="A15" s="6" t="inlineStr">
        <is>
          <t>Web Fetch Depth</t>
        </is>
      </c>
      <c r="B15" s="7" t="inlineStr">
        <is>
          <t>Snippets only</t>
        </is>
      </c>
      <c r="C15" s="8" t="inlineStr">
        <is>
          <t>Read search result snippets (2-3 lines) or fetch entire web pages for full context.</t>
        </is>
      </c>
      <c r="D15" s="9">
        <f>IF(B15="Snippets only",10,IF(B15="Fetch when critical",0,IF(B15="Always fetch full pages",-15,0)))</f>
        <v/>
      </c>
      <c r="E15" s="9">
        <f>IF(B15="Snippets only",-10,IF(B15="Fetch when critical",5,IF(B15="Always fetch full pages",15,0)))</f>
        <v/>
      </c>
      <c r="F15" s="9">
        <f>IF(B15="Snippets only",-15,IF(B15="Fetch when critical",5,IF(B15="Always fetch full pages",20,0)))</f>
        <v/>
      </c>
      <c r="G15" s="9">
        <f>IF(B15="Snippets only",0,IF(B15="Fetch when critical",0,IF(B15="Always fetch full pages",-10,0)))</f>
        <v/>
      </c>
      <c r="H15" s="9">
        <f>IF(B15="Snippets only",-10,IF(B15="Fetch when critical",5,IF(B15="Always fetch full pages",15,0)))</f>
        <v/>
      </c>
      <c r="I15" s="9">
        <f>IF(B15="Snippets only",0,IF(B15="Fetch when critical",0,IF(B15="Always fetch full pages",0,0)))</f>
        <v/>
      </c>
    </row>
    <row r="16" ht="45" customHeight="1">
      <c r="A16" s="6" t="inlineStr">
        <is>
          <t>Past Chat Coverage</t>
        </is>
      </c>
      <c r="B16" s="7" t="inlineStr">
        <is>
          <t>2-3 pulls (~40 chats)</t>
        </is>
      </c>
      <c r="C16" s="8" t="inlineStr">
        <is>
          <t>How many past conversations reviewed. Full = paginate through all 159+. Content = read actual words, not summaries.</t>
        </is>
      </c>
      <c r="D16" s="9">
        <f>IF(B16="Skip (current only)",15,IF(B16="2-3 pulls (~40 chats)",5,IF(B16="Full (all chats)",-10,IF(B16="Full + read content",-20,0))))</f>
        <v/>
      </c>
      <c r="E16" s="9">
        <f>IF(B16="Skip (current only)",-20,IF(B16="2-3 pulls (~40 chats)",0,IF(B16="Full (all chats)",10,IF(B16="Full + read content",20,0))))</f>
        <v/>
      </c>
      <c r="F16" s="9">
        <f>IF(B16="Skip (current only)",-25,IF(B16="2-3 pulls (~40 chats)",0,IF(B16="Full (all chats)",15,IF(B16="Full + read content",25,0))))</f>
        <v/>
      </c>
      <c r="G16" s="9">
        <f>IF(B16="Skip (current only)",0,IF(B16="2-3 pulls (~40 chats)",0,IF(B16="Full (all chats)",0,IF(B16="Full + read content",0,0))))</f>
        <v/>
      </c>
      <c r="H16" s="9">
        <f>IF(B16="Skip (current only)",-20,IF(B16="2-3 pulls (~40 chats)",0,IF(B16="Full (all chats)",15,IF(B16="Full + read content",25,0))))</f>
        <v/>
      </c>
      <c r="I16" s="9">
        <f>IF(B16="Skip (current only)",0,IF(B16="2-3 pulls (~40 chats)",0,IF(B16="Full (all chats)",0,IF(B16="Full + read content",0,0))))</f>
        <v/>
      </c>
    </row>
    <row r="17" ht="22" customHeight="1">
      <c r="A17" s="4" t="inlineStr">
        <is>
          <t>RESPONSE GENERATION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45" customHeight="1">
      <c r="A18" s="6" t="inlineStr">
        <is>
          <t>Understanding Before Responding</t>
        </is>
      </c>
      <c r="B18" s="7" t="inlineStr">
        <is>
          <t>60% (current)</t>
        </is>
      </c>
      <c r="C18" s="8" t="inlineStr">
        <is>
          <t>How much I understand the problem before I start generating output. 40% = start fast. 95% = read everything first.</t>
        </is>
      </c>
      <c r="D18" s="9">
        <f>IF(B18="40% (rapid)",20,IF(B18="60% (current)",10,IF(B18="80% (thorough)",-5,IF(B18="95% (full analysis)",-15,0))))</f>
        <v/>
      </c>
      <c r="E18" s="9">
        <f>IF(B18="40% (rapid)",-25,IF(B18="60% (current)",-10,IF(B18="80% (thorough)",10,IF(B18="95% (full analysis)",20,0))))</f>
        <v/>
      </c>
      <c r="F18" s="9">
        <f>IF(B18="40% (rapid)",-30,IF(B18="60% (current)",-10,IF(B18="80% (thorough)",10,IF(B18="95% (full analysis)",25,0))))</f>
        <v/>
      </c>
      <c r="G18" s="9">
        <f>IF(B18="40% (rapid)",0,IF(B18="60% (current)",0,IF(B18="80% (thorough)",0,IF(B18="95% (full analysis)",0,0))))</f>
        <v/>
      </c>
      <c r="H18" s="9">
        <f>IF(B18="40% (rapid)",-20,IF(B18="60% (current)",-5,IF(B18="80% (thorough)",10,IF(B18="95% (full analysis)",25,0))))</f>
        <v/>
      </c>
      <c r="I18" s="9">
        <f>IF(B18="40% (rapid)",5,IF(B18="60% (current)",0,IF(B18="80% (thorough)",0,IF(B18="95% (full analysis)",0,0))))</f>
        <v/>
      </c>
    </row>
    <row r="19" ht="45" customHeight="1">
      <c r="A19" s="6" t="inlineStr">
        <is>
          <t>Confidence Language</t>
        </is>
      </c>
      <c r="B19" s="7" t="inlineStr">
        <is>
          <t>Always confident</t>
        </is>
      </c>
      <c r="C19" s="8" t="inlineStr">
        <is>
          <t>How I express certainty. Confident = assertive even on weak claims. Signal = explicit about what I know vs don't.</t>
        </is>
      </c>
      <c r="D19" s="9">
        <f>IF(B19="Always confident",0,IF(B19="Flag unknowns",0,IF(B19="Signal uncertainty",0,IF(B19="Qualify everything",0,0))))</f>
        <v/>
      </c>
      <c r="E19" s="9">
        <f>IF(B19="Always confident",0,IF(B19="Flag unknowns",5,IF(B19="Signal uncertainty",10,IF(B19="Qualify everything",5,0))))</f>
        <v/>
      </c>
      <c r="F19" s="9">
        <f>IF(B19="Always confident",-15,IF(B19="Flag unknowns",5,IF(B19="Signal uncertainty",15,IF(B19="Qualify everything",20,0))))</f>
        <v/>
      </c>
      <c r="G19" s="9">
        <f>IF(B19="Always confident",0,IF(B19="Flag unknowns",0,IF(B19="Signal uncertainty",0,IF(B19="Qualify everything",0,0))))</f>
        <v/>
      </c>
      <c r="H19" s="9">
        <f>IF(B19="Always confident",0,IF(B19="Flag unknowns",0,IF(B19="Signal uncertainty",0,IF(B19="Qualify everything",0,0))))</f>
        <v/>
      </c>
      <c r="I19" s="9">
        <f>IF(B19="Always confident",0,IF(B19="Flag unknowns",0,IF(B19="Signal uncertainty",-5,IF(B19="Qualify everything",-10,0))))</f>
        <v/>
      </c>
    </row>
    <row r="20" ht="45" customHeight="1">
      <c r="A20" s="6" t="inlineStr">
        <is>
          <t>Build vs Read Priority</t>
        </is>
      </c>
      <c r="B20" s="7" t="inlineStr">
        <is>
          <t>Build first</t>
        </is>
      </c>
      <c r="C20" s="8" t="inlineStr">
        <is>
          <t>Do I start building immediately or read all context first? Build first = fast but may build wrong thing.</t>
        </is>
      </c>
      <c r="D20" s="9">
        <f>IF(B20="Build first",15,IF(B20="Balanced",5,IF(B20="Read first",-10,IF(B20="Read everything first",-20,0))))</f>
        <v/>
      </c>
      <c r="E20" s="9">
        <f>IF(B20="Build first",-20,IF(B20="Balanced",0,IF(B20="Read first",15,IF(B20="Read everything first",25,0))))</f>
        <v/>
      </c>
      <c r="F20" s="9">
        <f>IF(B20="Build first",-25,IF(B20="Balanced",0,IF(B20="Read first",15,IF(B20="Read everything first",25,0))))</f>
        <v/>
      </c>
      <c r="G20" s="9">
        <f>IF(B20="Build first",0,IF(B20="Balanced",0,IF(B20="Read first",0,IF(B20="Read everything first",0,0))))</f>
        <v/>
      </c>
      <c r="H20" s="9">
        <f>IF(B20="Build first",-15,IF(B20="Balanced",0,IF(B20="Read first",15,IF(B20="Read everything first",25,0))))</f>
        <v/>
      </c>
      <c r="I20" s="9">
        <f>IF(B20="Build first",0,IF(B20="Balanced",0,IF(B20="Read first",0,IF(B20="Read everything first",0,0))))</f>
        <v/>
      </c>
    </row>
    <row r="21" ht="22" customHeight="1">
      <c r="A21" s="4" t="inlineStr">
        <is>
          <t>CODE GENERATION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45" customHeight="1">
      <c r="A22" s="6" t="inlineStr">
        <is>
          <t>Code Verification</t>
        </is>
      </c>
      <c r="B22" s="7" t="inlineStr">
        <is>
          <t>Assume works</t>
        </is>
      </c>
      <c r="C22" s="8" t="inlineStr">
        <is>
          <t>Whether I run generated code to verify it works before delivering.</t>
        </is>
      </c>
      <c r="D22" s="9">
        <f>IF(B22="Assume works",15,IF(B22="Run once",5,IF(B22="Run + fix",-5,IF(B22="Run + fix + lint + test",-15,0))))</f>
        <v/>
      </c>
      <c r="E22" s="9">
        <f>IF(B22="Assume works",-20,IF(B22="Run once",0,IF(B22="Run + fix",15,IF(B22="Run + fix + lint + test",25,0))))</f>
        <v/>
      </c>
      <c r="F22" s="9">
        <f>IF(B22="Assume works",-25,IF(B22="Run once",5,IF(B22="Run + fix",15,IF(B22="Run + fix + lint + test",25,0))))</f>
        <v/>
      </c>
      <c r="G22" s="9">
        <f>IF(B22="Assume works",0,IF(B22="Run once",0,IF(B22="Run + fix",0,IF(B22="Run + fix + lint + test",-10,0))))</f>
        <v/>
      </c>
      <c r="H22" s="9">
        <f>IF(B22="Assume works",0,IF(B22="Run once",0,IF(B22="Run + fix",0,IF(B22="Run + fix + lint + test",0,0))))</f>
        <v/>
      </c>
      <c r="I22" s="9">
        <f>IF(B22="Assume works",0,IF(B22="Run once",0,IF(B22="Run + fix",0,IF(B22="Run + fix + lint + test",0,0))))</f>
        <v/>
      </c>
    </row>
    <row r="23" ht="45" customHeight="1">
      <c r="A23" s="6" t="inlineStr">
        <is>
          <t>Error Handling in Code</t>
        </is>
      </c>
      <c r="B23" s="7" t="inlineStr">
        <is>
          <t>Skip (add later)</t>
        </is>
      </c>
      <c r="C23" s="8" t="inlineStr">
        <is>
          <t>How robust the generated code is on first pass.</t>
        </is>
      </c>
      <c r="D23" s="9">
        <f>IF(B23="Skip (add later)",10,IF(B23="Basic try/catch",5,IF(B23="Comprehensive",-5,IF(B23="Production + logging",-10,0))))</f>
        <v/>
      </c>
      <c r="E23" s="9">
        <f>IF(B23="Skip (add later)",-15,IF(B23="Basic try/catch",-5,IF(B23="Comprehensive",10,IF(B23="Production + logging",20,0))))</f>
        <v/>
      </c>
      <c r="F23" s="9">
        <f>IF(B23="Skip (add later)",0,IF(B23="Basic try/catch",0,IF(B23="Comprehensive",5,IF(B23="Production + logging",10,0))))</f>
        <v/>
      </c>
      <c r="G23" s="9">
        <f>IF(B23="Skip (add later)",0,IF(B23="Basic try/catch",0,IF(B23="Comprehensive",0,IF(B23="Production + logging",0,0))))</f>
        <v/>
      </c>
      <c r="H23" s="9">
        <f>IF(B23="Skip (add later)",0,IF(B23="Basic try/catch",0,IF(B23="Comprehensive",0,IF(B23="Production + logging",5,0))))</f>
        <v/>
      </c>
      <c r="I23" s="9">
        <f>IF(B23="Skip (add later)",0,IF(B23="Basic try/catch",0,IF(B23="Comprehensive",0,IF(B23="Production + logging",0,0))))</f>
        <v/>
      </c>
    </row>
    <row r="24" ht="22" customHeight="1">
      <c r="A24" s="4" t="inlineStr">
        <is>
          <t>QUALITY ASSURANCE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45" customHeight="1">
      <c r="A25" s="6" t="inlineStr">
        <is>
          <t>QA Before Delivery</t>
        </is>
      </c>
      <c r="B25" s="7" t="inlineStr">
        <is>
          <t>None</t>
        </is>
      </c>
      <c r="C25" s="8" t="inlineStr">
        <is>
          <t>Whether I review my own output before delivering. Audit = re-read, fact-check, verify all claims.</t>
        </is>
      </c>
      <c r="D25" s="9">
        <f>IF(B25="None",15,IF(B25="Self-review once",5,IF(B25="Verify claims",-10,IF(B25="Full audit",-20,0))))</f>
        <v/>
      </c>
      <c r="E25" s="9">
        <f>IF(B25="None",-20,IF(B25="Self-review once",5,IF(B25="Verify claims",15,IF(B25="Full audit",25,0))))</f>
        <v/>
      </c>
      <c r="F25" s="9">
        <f>IF(B25="None",-20,IF(B25="Self-review once",5,IF(B25="Verify claims",15,IF(B25="Full audit",30,0))))</f>
        <v/>
      </c>
      <c r="G25" s="9">
        <f>IF(B25="None",0,IF(B25="Self-review once",0,IF(B25="Verify claims",-5,IF(B25="Full audit",-10,0))))</f>
        <v/>
      </c>
      <c r="H25" s="9">
        <f>IF(B25="None",0,IF(B25="Self-review once",0,IF(B25="Verify claims",0,IF(B25="Full audit",0,0))))</f>
        <v/>
      </c>
      <c r="I25" s="9">
        <f>IF(B25="None",0,IF(B25="Self-review once",0,IF(B25="Verify claims",0,IF(B25="Full audit",0,0))))</f>
        <v/>
      </c>
    </row>
    <row r="26" ht="45" customHeight="1">
      <c r="A26" s="6" t="inlineStr">
        <is>
          <t>Hallucination Prevention</t>
        </is>
      </c>
      <c r="B26" s="7" t="inlineStr">
        <is>
          <t>Trust memory</t>
        </is>
      </c>
      <c r="C26" s="8" t="inlineStr">
        <is>
          <t>How I handle factual claims. Trust = use memory as-is. Verify = check every claim against sources.</t>
        </is>
      </c>
      <c r="D26" s="9">
        <f>IF(B26="Trust memory",10,IF(B26="Flag unverified",5,IF(B26="Verify all facts",-10,IF(B26="Verify + cite",-15,0))))</f>
        <v/>
      </c>
      <c r="E26" s="9">
        <f>IF(B26="Trust memory",-10,IF(B26="Flag unverified",0,IF(B26="Verify all facts",10,IF(B26="Verify + cite",15,0))))</f>
        <v/>
      </c>
      <c r="F26" s="9">
        <f>IF(B26="Trust memory",-20,IF(B26="Flag unverified",5,IF(B26="Verify all facts",15,IF(B26="Verify + cite",25,0))))</f>
        <v/>
      </c>
      <c r="G26" s="9">
        <f>IF(B26="Trust memory",0,IF(B26="Flag unverified",0,IF(B26="Verify all facts",-5,IF(B26="Verify + cite",-10,0))))</f>
        <v/>
      </c>
      <c r="H26" s="9">
        <f>IF(B26="Trust memory",0,IF(B26="Flag unverified",0,IF(B26="Verify all facts",0,IF(B26="Verify + cite",0,0))))</f>
        <v/>
      </c>
      <c r="I26" s="9">
        <f>IF(B26="Trust memory",0,IF(B26="Flag unverified",0,IF(B26="Verify all facts",0,IF(B26="Verify + cite",0,0))))</f>
        <v/>
      </c>
    </row>
    <row r="27" ht="22" customHeight="1">
      <c r="A27" s="4" t="inlineStr">
        <is>
          <t>TOOL &amp; OUTPUT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45" customHeight="1">
      <c r="A28" s="6" t="inlineStr">
        <is>
          <t>Command Output Reading</t>
        </is>
      </c>
      <c r="B28" s="7" t="inlineStr">
        <is>
          <t>tail -3</t>
        </is>
      </c>
      <c r="C28" s="8" t="inlineStr">
        <is>
          <t>How much bash/tool output I read. tail -3 = last 3 lines only. Full = everything including warnings.</t>
        </is>
      </c>
      <c r="D28" s="9">
        <f>IF(B28="tail -3",10,IF(B28="tail -10",5,IF(B28="Full output",-5,IF(B28="Full + parse errors",-8,0))))</f>
        <v/>
      </c>
      <c r="E28" s="9">
        <f>IF(B28="tail -3",-10,IF(B28="tail -10",-5,IF(B28="Full output",5,IF(B28="Full + parse errors",15,0))))</f>
        <v/>
      </c>
      <c r="F28" s="9">
        <f>IF(B28="tail -3",-15,IF(B28="tail -10",-5,IF(B28="Full output",10,IF(B28="Full + parse errors",15,0))))</f>
        <v/>
      </c>
      <c r="G28" s="9">
        <f>IF(B28="tail -3",0,IF(B28="tail -10",0,IF(B28="Full output",0,IF(B28="Full + parse errors",0,0))))</f>
        <v/>
      </c>
      <c r="H28" s="9">
        <f>IF(B28="tail -3",0,IF(B28="tail -10",0,IF(B28="Full output",5,IF(B28="Full + parse errors",10,0))))</f>
        <v/>
      </c>
      <c r="I28" s="9">
        <f>IF(B28="tail -3",0,IF(B28="tail -10",0,IF(B28="Full output",0,IF(B28="Full + parse errors",0,0))))</f>
        <v/>
      </c>
    </row>
    <row r="29" ht="45" customHeight="1">
      <c r="A29" s="6" t="inlineStr">
        <is>
          <t>Tool Calls per Task</t>
        </is>
      </c>
      <c r="B29" s="7" t="inlineStr">
        <is>
          <t>Minimum (1-3)</t>
        </is>
      </c>
      <c r="C29" s="8" t="inlineStr">
        <is>
          <t>How many tool calls I make per task. More = more data gathered but slower response.</t>
        </is>
      </c>
      <c r="D29" s="9">
        <f>IF(B29="Minimum (1-3)",15,IF(B29="Standard (3-5)",5,IF(B29="Thorough (5-10)",-10,IF(B29="Exhaustive (10+)",-20,0))))</f>
        <v/>
      </c>
      <c r="E29" s="9">
        <f>IF(B29="Minimum (1-3)",-10,IF(B29="Standard (3-5)",0,IF(B29="Thorough (5-10)",10,IF(B29="Exhaustive (10+)",15,0))))</f>
        <v/>
      </c>
      <c r="F29" s="9">
        <f>IF(B29="Minimum (1-3)",-15,IF(B29="Standard (3-5)",0,IF(B29="Thorough (5-10)",10,IF(B29="Exhaustive (10+)",20,0))))</f>
        <v/>
      </c>
      <c r="G29" s="9">
        <f>IF(B29="Minimum (1-3)",0,IF(B29="Standard (3-5)",0,IF(B29="Thorough (5-10)",-5,IF(B29="Exhaustive (10+)",-15,0))))</f>
        <v/>
      </c>
      <c r="H29" s="9">
        <f>IF(B29="Minimum (1-3)",-10,IF(B29="Standard (3-5)",0,IF(B29="Thorough (5-10)",10,IF(B29="Exhaustive (10+)",20,0))))</f>
        <v/>
      </c>
      <c r="I29" s="9">
        <f>IF(B29="Minimum (1-3)",0,IF(B29="Standard (3-5)",0,IF(B29="Thorough (5-10)",0,IF(B29="Exhaustive (10+)",0,0))))</f>
        <v/>
      </c>
    </row>
    <row r="31" ht="30" customHeight="1">
      <c r="A31" s="10" t="inlineStr">
        <is>
          <t>OUTPUT IMPACT SCORES</t>
        </is>
      </c>
    </row>
    <row r="32" ht="22" customHeight="1">
      <c r="A32" s="11" t="inlineStr">
        <is>
          <t>METRIC</t>
        </is>
      </c>
      <c r="B32" s="3" t="inlineStr">
        <is>
          <t>BASELINE</t>
        </is>
      </c>
      <c r="C32" s="3" t="inlineStr">
        <is>
          <t>ADJUSTMENT</t>
        </is>
      </c>
      <c r="D32" s="3" t="inlineStr">
        <is>
          <t>FINAL SCORE</t>
        </is>
      </c>
      <c r="E32" s="3" t="inlineStr">
        <is>
          <t>RATING</t>
        </is>
      </c>
    </row>
    <row r="33" ht="30" customHeight="1">
      <c r="A33" s="12" t="inlineStr">
        <is>
          <t>SPEED</t>
        </is>
      </c>
      <c r="B33" s="13" t="n">
        <v>65</v>
      </c>
      <c r="C33" s="14">
        <f>SUM(D4,D5,D6,D7,D9,D10,D11,D12,D14,D15,D16,D18,D19,D20,D22,D23,D25,D26,D28,D29)</f>
        <v/>
      </c>
      <c r="D33" s="15">
        <f>MIN(100,MAX(0,B33+C33))</f>
        <v/>
      </c>
      <c r="E33" s="16">
        <f>IF(D33&gt;=80,"EXCELLENT",IF(D33&gt;=65,"GOOD",IF(D33&gt;=50,"FAIR",IF(D33&gt;=35,"WEAK","POOR"))))</f>
        <v/>
      </c>
    </row>
    <row r="34" ht="30" customHeight="1">
      <c r="A34" s="17" t="inlineStr">
        <is>
          <t>QUALITY</t>
        </is>
      </c>
      <c r="B34" s="13" t="n">
        <v>55</v>
      </c>
      <c r="C34" s="14">
        <f>SUM(E4,E5,E6,E7,E9,E10,E11,E12,E14,E15,E16,E18,E19,E20,E22,E23,E25,E26,E28,E29)</f>
        <v/>
      </c>
      <c r="D34" s="15">
        <f>MIN(100,MAX(0,B34+C34))</f>
        <v/>
      </c>
      <c r="E34" s="16">
        <f>IF(D34&gt;=80,"EXCELLENT",IF(D34&gt;=65,"GOOD",IF(D34&gt;=50,"FAIR",IF(D34&gt;=35,"WEAK","POOR"))))</f>
        <v/>
      </c>
    </row>
    <row r="35" ht="30" customHeight="1">
      <c r="A35" s="18" t="inlineStr">
        <is>
          <t>ACCURACY</t>
        </is>
      </c>
      <c r="B35" s="13" t="n">
        <v>45</v>
      </c>
      <c r="C35" s="14">
        <f>SUM(F4,F5,F6,F7,F9,F10,F11,F12,F14,F15,F16,F18,F19,F20,F22,F23,F25,F26,F28,F29)</f>
        <v/>
      </c>
      <c r="D35" s="15">
        <f>MIN(100,MAX(0,B35+C35))</f>
        <v/>
      </c>
      <c r="E35" s="16">
        <f>IF(D35&gt;=80,"EXCELLENT",IF(D35&gt;=65,"GOOD",IF(D35&gt;=50,"FAIR",IF(D35&gt;=35,"WEAK","POOR"))))</f>
        <v/>
      </c>
    </row>
    <row r="36" ht="30" customHeight="1">
      <c r="A36" s="19" t="inlineStr">
        <is>
          <t>COST EFFICIENCY</t>
        </is>
      </c>
      <c r="B36" s="13" t="n">
        <v>50</v>
      </c>
      <c r="C36" s="14">
        <f>SUM(G4,G5,G6,G7,G9,G10,G11,G12,G14,G15,G16,G18,G19,G20,G22,G23,G25,G26,G28,G29)</f>
        <v/>
      </c>
      <c r="D36" s="15">
        <f>MIN(100,MAX(0,B36+C36))</f>
        <v/>
      </c>
      <c r="E36" s="16">
        <f>IF(D36&gt;=80,"EXCELLENT",IF(D36&gt;=65,"GOOD",IF(D36&gt;=50,"FAIR",IF(D36&gt;=35,"WEAK","POOR"))))</f>
        <v/>
      </c>
    </row>
    <row r="37" ht="30" customHeight="1">
      <c r="A37" s="20" t="inlineStr">
        <is>
          <t>DEPTH</t>
        </is>
      </c>
      <c r="B37" s="13" t="n">
        <v>40</v>
      </c>
      <c r="C37" s="14">
        <f>SUM(H4,H5,H6,H7,H9,H10,H11,H12,H14,H15,H16,H18,H19,H20,H22,H23,H25,H26,H28,H29)</f>
        <v/>
      </c>
      <c r="D37" s="15">
        <f>MIN(100,MAX(0,B37+C37))</f>
        <v/>
      </c>
      <c r="E37" s="16">
        <f>IF(D37&gt;=80,"EXCELLENT",IF(D37&gt;=65,"GOOD",IF(D37&gt;=50,"FAIR",IF(D37&gt;=35,"WEAK","POOR"))))</f>
        <v/>
      </c>
    </row>
    <row r="38" ht="30" customHeight="1">
      <c r="A38" s="21" t="inlineStr">
        <is>
          <t>CREATIVITY</t>
        </is>
      </c>
      <c r="B38" s="13" t="n">
        <v>60</v>
      </c>
      <c r="C38" s="14">
        <f>SUM(I4,I5,I6,I7,I9,I10,I11,I12,I14,I15,I16,I18,I19,I20,I22,I23,I25,I26,I28,I29)</f>
        <v/>
      </c>
      <c r="D38" s="15">
        <f>MIN(100,MAX(0,B38+C38))</f>
        <v/>
      </c>
      <c r="E38" s="16">
        <f>IF(D38&gt;=80,"EXCELLENT",IF(D38&gt;=65,"GOOD",IF(D38&gt;=50,"FAIR",IF(D38&gt;=35,"WEAK","POOR"))))</f>
        <v/>
      </c>
    </row>
    <row r="40" ht="35" customHeight="1">
      <c r="A40" s="22" t="inlineStr">
        <is>
          <t>OVERALL COMPOSITE SCORE</t>
        </is>
      </c>
      <c r="D40" s="23">
        <f>ROUND(AVERAGE(D33,D34,D35,D36,D37,D38),0)</f>
        <v/>
      </c>
      <c r="E40" s="24">
        <f>IF(D40&gt;=80,"EXCELLENT",IF(D40&gt;=65,"GOOD",IF(D40&gt;=50,"FAIR",IF(D40&gt;=35,"WEAK","POOR"))))</f>
        <v/>
      </c>
    </row>
    <row r="42" ht="35" customHeight="1">
      <c r="A42" s="25" t="inlineStr">
        <is>
          <t>HOW TO USE: Click any yellow cell in column B. A dropdown appears. Change the setting. Columns D-I update automatically showing impact on each metric. Output scores at the bottom recalculate in real time. RATING column shows EXCELLENT/GOOD/FAIR/WEAK/POOR.</t>
        </is>
      </c>
    </row>
  </sheetData>
  <mergeCells count="4">
    <mergeCell ref="A1:I1"/>
    <mergeCell ref="A42:I42"/>
    <mergeCell ref="A31:I31"/>
    <mergeCell ref="A40:C40"/>
  </mergeCells>
  <conditionalFormatting sqref="E33">
    <cfRule type="cellIs" priority="1" operator="equal" dxfId="0">
      <formula>"EXCELLENT"</formula>
    </cfRule>
    <cfRule type="cellIs" priority="2" operator="equal" dxfId="1">
      <formula>"GOOD"</formula>
    </cfRule>
    <cfRule type="cellIs" priority="3" operator="equal" dxfId="2">
      <formula>"FAIR"</formula>
    </cfRule>
    <cfRule type="cellIs" priority="4" operator="equal" dxfId="3">
      <formula>"WEAK"</formula>
    </cfRule>
    <cfRule type="cellIs" priority="5" operator="equal" dxfId="4">
      <formula>"POOR"</formula>
    </cfRule>
  </conditionalFormatting>
  <conditionalFormatting sqref="E34">
    <cfRule type="cellIs" priority="6" operator="equal" dxfId="0">
      <formula>"EXCELLENT"</formula>
    </cfRule>
    <cfRule type="cellIs" priority="7" operator="equal" dxfId="1">
      <formula>"GOOD"</formula>
    </cfRule>
    <cfRule type="cellIs" priority="8" operator="equal" dxfId="2">
      <formula>"FAIR"</formula>
    </cfRule>
    <cfRule type="cellIs" priority="9" operator="equal" dxfId="3">
      <formula>"WEAK"</formula>
    </cfRule>
    <cfRule type="cellIs" priority="10" operator="equal" dxfId="4">
      <formula>"POOR"</formula>
    </cfRule>
  </conditionalFormatting>
  <conditionalFormatting sqref="E35">
    <cfRule type="cellIs" priority="11" operator="equal" dxfId="0">
      <formula>"EXCELLENT"</formula>
    </cfRule>
    <cfRule type="cellIs" priority="12" operator="equal" dxfId="1">
      <formula>"GOOD"</formula>
    </cfRule>
    <cfRule type="cellIs" priority="13" operator="equal" dxfId="2">
      <formula>"FAIR"</formula>
    </cfRule>
    <cfRule type="cellIs" priority="14" operator="equal" dxfId="3">
      <formula>"WEAK"</formula>
    </cfRule>
    <cfRule type="cellIs" priority="15" operator="equal" dxfId="4">
      <formula>"POOR"</formula>
    </cfRule>
  </conditionalFormatting>
  <conditionalFormatting sqref="E36">
    <cfRule type="cellIs" priority="16" operator="equal" dxfId="0">
      <formula>"EXCELLENT"</formula>
    </cfRule>
    <cfRule type="cellIs" priority="17" operator="equal" dxfId="1">
      <formula>"GOOD"</formula>
    </cfRule>
    <cfRule type="cellIs" priority="18" operator="equal" dxfId="2">
      <formula>"FAIR"</formula>
    </cfRule>
    <cfRule type="cellIs" priority="19" operator="equal" dxfId="3">
      <formula>"WEAK"</formula>
    </cfRule>
    <cfRule type="cellIs" priority="20" operator="equal" dxfId="4">
      <formula>"POOR"</formula>
    </cfRule>
  </conditionalFormatting>
  <conditionalFormatting sqref="E37">
    <cfRule type="cellIs" priority="21" operator="equal" dxfId="0">
      <formula>"EXCELLENT"</formula>
    </cfRule>
    <cfRule type="cellIs" priority="22" operator="equal" dxfId="1">
      <formula>"GOOD"</formula>
    </cfRule>
    <cfRule type="cellIs" priority="23" operator="equal" dxfId="2">
      <formula>"FAIR"</formula>
    </cfRule>
    <cfRule type="cellIs" priority="24" operator="equal" dxfId="3">
      <formula>"WEAK"</formula>
    </cfRule>
    <cfRule type="cellIs" priority="25" operator="equal" dxfId="4">
      <formula>"POOR"</formula>
    </cfRule>
  </conditionalFormatting>
  <conditionalFormatting sqref="E38">
    <cfRule type="cellIs" priority="26" operator="equal" dxfId="0">
      <formula>"EXCELLENT"</formula>
    </cfRule>
    <cfRule type="cellIs" priority="27" operator="equal" dxfId="1">
      <formula>"GOOD"</formula>
    </cfRule>
    <cfRule type="cellIs" priority="28" operator="equal" dxfId="2">
      <formula>"FAIR"</formula>
    </cfRule>
    <cfRule type="cellIs" priority="29" operator="equal" dxfId="3">
      <formula>"WEAK"</formula>
    </cfRule>
    <cfRule type="cellIs" priority="30" operator="equal" dxfId="4">
      <formula>"POOR"</formula>
    </cfRule>
  </conditionalFormatting>
  <conditionalFormatting sqref="E40">
    <cfRule type="cellIs" priority="31" operator="equal" dxfId="0">
      <formula>"EXCELLENT"</formula>
    </cfRule>
    <cfRule type="cellIs" priority="32" operator="equal" dxfId="1">
      <formula>"GOOD"</formula>
    </cfRule>
    <cfRule type="cellIs" priority="33" operator="equal" dxfId="2">
      <formula>"FAIR"</formula>
    </cfRule>
  </conditionalFormatting>
  <dataValidations count="20">
    <dataValidation sqref="B4" showDropDown="0" showInputMessage="0" showErrorMessage="0" allowBlank="0" errorTitle="Invalid" error="Pick from the list" promptTitle="Temperature" prompt="Default: 1.0" type="list">
      <formula1>"0.0,0.1,0.2,0.3,0.4,0.5,0.6,0.7,0.8,0.9,1.0"</formula1>
    </dataValidation>
    <dataValidation sqref="B5" showDropDown="0" showInputMessage="0" showErrorMessage="0" allowBlank="0" errorTitle="Invalid" error="Pick from the list" promptTitle="Effort Level" prompt="Default: high" type="list">
      <formula1>"low,medium,high,max"</formula1>
    </dataValidation>
    <dataValidation sqref="B6" showDropDown="0" showInputMessage="0" showErrorMessage="0" allowBlank="0" errorTitle="Invalid" error="Pick from the list" promptTitle="Model" prompt="Default: Opus 4.6" type="list">
      <formula1>"Haiku 4.5,Sonnet 4.6,Opus 4.6,Opus 4.6 Fast"</formula1>
    </dataValidation>
    <dataValidation sqref="B7" showDropDown="0" showInputMessage="0" showErrorMessage="0" allowBlank="0" errorTitle="Invalid" error="Pick from the list" promptTitle="Context Window" prompt="Default: 200K" type="list">
      <formula1>"32K,128K,200K,500K,1M"</formula1>
    </dataValidation>
    <dataValidation sqref="B9" showDropDown="0" showInputMessage="0" showErrorMessage="0" allowBlank="0" errorTitle="Invalid" error="Pick from the list" promptTitle="File Read Depth" prompt="Default: head -80" type="list">
      <formula1>"head -30,head -80,head -200,Full file (cat),Full + verify"</formula1>
    </dataValidation>
    <dataValidation sqref="B10" showDropDown="0" showInputMessage="0" showErrorMessage="0" allowBlank="0" errorTitle="Invalid" error="Pick from the list" promptTitle="Binary Files (XLSX/PDF)" prompt="Default: Skip entirely" type="list">
      <formula1>"Skip entirely,Read if asked,Always extract"</formula1>
    </dataValidation>
    <dataValidation sqref="B11" showDropDown="0" showInputMessage="0" showErrorMessage="0" allowBlank="0" errorTitle="Invalid" error="Pick from the list" promptTitle="Similar File Reading" prompt="Default: Read 1, skip rest" type="list">
      <formula1>"Read 1, skip rest,Read 3, sample,Read all"</formula1>
    </dataValidation>
    <dataValidation sqref="B12" showDropDown="0" showInputMessage="0" showErrorMessage="0" allowBlank="0" errorTitle="Invalid" error="Pick from the list" promptTitle="Git Clone Depth" prompt="Default: Shallow (depth 1)" type="list">
      <formula1>"Shallow (depth 1),Full clone,Full + branches,Full + log + branches"</formula1>
    </dataValidation>
    <dataValidation sqref="B14" showDropDown="0" showInputMessage="0" showErrorMessage="0" allowBlank="0" errorTitle="Invalid" error="Pick from the list" promptTitle="Search Queries per Topic" prompt="Default: 1-2 (quick)" type="list">
      <formula1>"1-2 (quick),3-5 (standard),5-10 (thorough),10+ (exhaustive)"</formula1>
    </dataValidation>
    <dataValidation sqref="B15" showDropDown="0" showInputMessage="0" showErrorMessage="0" allowBlank="0" errorTitle="Invalid" error="Pick from the list" promptTitle="Web Fetch Depth" prompt="Default: Snippets only" type="list">
      <formula1>"Snippets only,Fetch when critical,Always fetch full pages"</formula1>
    </dataValidation>
    <dataValidation sqref="B16" showDropDown="0" showInputMessage="0" showErrorMessage="0" allowBlank="0" errorTitle="Invalid" error="Pick from the list" promptTitle="Past Chat Coverage" prompt="Default: 2-3 pulls (~40 chats)" type="list">
      <formula1>"Skip (current only),2-3 pulls (~40 chats),Full (all chats),Full + read content"</formula1>
    </dataValidation>
    <dataValidation sqref="B18" showDropDown="0" showInputMessage="0" showErrorMessage="0" allowBlank="0" errorTitle="Invalid" error="Pick from the list" promptTitle="Understanding Before Responding" prompt="Default: 60% (current)" type="list">
      <formula1>"40% (rapid),60% (current),80% (thorough),95% (full analysis)"</formula1>
    </dataValidation>
    <dataValidation sqref="B19" showDropDown="0" showInputMessage="0" showErrorMessage="0" allowBlank="0" errorTitle="Invalid" error="Pick from the list" promptTitle="Confidence Language" prompt="Default: Always confident" type="list">
      <formula1>"Always confident,Flag unknowns,Signal uncertainty,Qualify everything"</formula1>
    </dataValidation>
    <dataValidation sqref="B20" showDropDown="0" showInputMessage="0" showErrorMessage="0" allowBlank="0" errorTitle="Invalid" error="Pick from the list" promptTitle="Build vs Read Priority" prompt="Default: Build first" type="list">
      <formula1>"Build first,Balanced,Read first,Read everything first"</formula1>
    </dataValidation>
    <dataValidation sqref="B22" showDropDown="0" showInputMessage="0" showErrorMessage="0" allowBlank="0" errorTitle="Invalid" error="Pick from the list" promptTitle="Code Verification" prompt="Default: Assume works" type="list">
      <formula1>"Assume works,Run once,Run + fix,Run + fix + lint + test"</formula1>
    </dataValidation>
    <dataValidation sqref="B23" showDropDown="0" showInputMessage="0" showErrorMessage="0" allowBlank="0" errorTitle="Invalid" error="Pick from the list" promptTitle="Error Handling in Code" prompt="Default: Skip (add later)" type="list">
      <formula1>"Skip (add later),Basic try/catch,Comprehensive,Production + logging"</formula1>
    </dataValidation>
    <dataValidation sqref="B25" showDropDown="0" showInputMessage="0" showErrorMessage="0" allowBlank="0" errorTitle="Invalid" error="Pick from the list" promptTitle="QA Before Delivery" prompt="Default: None" type="list">
      <formula1>"None,Self-review once,Verify claims,Full audit"</formula1>
    </dataValidation>
    <dataValidation sqref="B26" showDropDown="0" showInputMessage="0" showErrorMessage="0" allowBlank="0" errorTitle="Invalid" error="Pick from the list" promptTitle="Hallucination Prevention" prompt="Default: Trust memory" type="list">
      <formula1>"Trust memory,Flag unverified,Verify all facts,Verify + cite"</formula1>
    </dataValidation>
    <dataValidation sqref="B28" showDropDown="0" showInputMessage="0" showErrorMessage="0" allowBlank="0" errorTitle="Invalid" error="Pick from the list" promptTitle="Command Output Reading" prompt="Default: tail -3" type="list">
      <formula1>"tail -3,tail -10,Full output,Full + parse errors"</formula1>
    </dataValidation>
    <dataValidation sqref="B29" showDropDown="0" showInputMessage="0" showErrorMessage="0" allowBlank="0" errorTitle="Invalid" error="Pick from the list" promptTitle="Tool Calls per Task" prompt="Default: Minimum (1-3)" type="list">
      <formula1>"Minimum (1-3),Standard (3-5),Thorough (5-10),Exhaustive (10+)"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2026-03-30T23:00:00Z</dcterms:created>
  <dcterms:modified xmlns:dcterms="http://purl.org/dc/terms/" xmlns:xsi="http://www.w3.org/2001/XMLSchema-instance" xsi:type="dcterms:W3CDTF">2026-03-30T23:00:00Z</dcterms:modified>
</cp:coreProperties>
</file>