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CK_REFERENCE" sheetId="1" state="visible" r:id="rId3"/>
    <sheet name="PROMPT_WIZARD" sheetId="2" state="visible" r:id="rId4"/>
    <sheet name="COMPETITIVE_ANALYSIS" sheetId="3" state="visible" r:id="rId5"/>
    <sheet name="DOMAIN_TAXONOMY" sheetId="4" state="visible" r:id="rId6"/>
    <sheet name="PROMPT_SCORING" sheetId="5" state="visible" r:id="rId7"/>
    <sheet name="FRAMEWORK_MATRIX" sheetId="6" state="visible" r:id="rId8"/>
    <sheet name="ROADBLOCK_DATABASE" sheetId="7" state="visible" r:id="rId9"/>
    <sheet name="PROMPT_LIBRARY" sheetId="8" state="visible" r:id="rId10"/>
    <sheet name="VS_ALLOCATOR" sheetId="9" state="visible" r:id="rId11"/>
    <sheet name="GOALS_REFERENCE" sheetId="10" state="visible" r:id="rId12"/>
    <sheet name="EXECUTION_LOG" sheetId="11" state="visible" r:id="rId13"/>
    <sheet name="EVALS_TRACKER" sheetId="12" state="visible" r:id="rId14"/>
    <sheet name="HOOKS_ARCHITECTURE" sheetId="13" state="visible" r:id="rId15"/>
    <sheet name="INSTALLATION_GUID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<sst xmlns="http://schemas.openxmlformats.org/spreadsheetml/2006/main" count="1030" uniqueCount="691">
  <si>
    <t xml:space="preserve">PROMPT REFINER SYSTEM - QUICK REFERENCE</t>
  </si>
  <si>
    <t xml:space="preserve">CORE PRINCIPLE</t>
  </si>
  <si>
    <t xml:space="preserve">User types F-minus → System refines to A+ → User approves → Claude executes gold</t>
  </si>
  <si>
    <t xml:space="preserve">DOMAINS</t>
  </si>
  <si>
    <t xml:space="preserve">TRIGGERS</t>
  </si>
  <si>
    <t xml:space="preserve">DEFAULT FRAMEWORK</t>
  </si>
  <si>
    <t xml:space="preserve">DEFAULT ZONE</t>
  </si>
  <si>
    <t xml:space="preserve">GOAL FIT</t>
  </si>
  <si>
    <t xml:space="preserve">LEGAL</t>
  </si>
  <si>
    <t xml:space="preserve">motion, filing, court, charges, custody, bankruptcy</t>
  </si>
  <si>
    <t xml:space="preserve">IRAC</t>
  </si>
  <si>
    <t xml:space="preserve">RED</t>
  </si>
  <si>
    <t xml:space="preserve">G1, G2, G3</t>
  </si>
  <si>
    <t xml:space="preserve">BUSINESS</t>
  </si>
  <si>
    <t xml:space="preserve">revenue, leads, sales, pricing, growth, customer</t>
  </si>
  <si>
    <t xml:space="preserve">JTBD</t>
  </si>
  <si>
    <t xml:space="preserve">GREEN</t>
  </si>
  <si>
    <t xml:space="preserve">G5</t>
  </si>
  <si>
    <t xml:space="preserve">TECHNICAL</t>
  </si>
  <si>
    <t xml:space="preserve">bug, error, code, deploy, API, database, test</t>
  </si>
  <si>
    <t xml:space="preserve">5 WHYS</t>
  </si>
  <si>
    <t xml:space="preserve">FAMILY</t>
  </si>
  <si>
    <t xml:space="preserve">kids, wife, husband, family, relationship</t>
  </si>
  <si>
    <t xml:space="preserve">PERSPECTIVE</t>
  </si>
  <si>
    <t xml:space="preserve">G4</t>
  </si>
  <si>
    <t xml:space="preserve">RESEARCH</t>
  </si>
  <si>
    <t xml:space="preserve">research, analyze, compare, evaluate, study</t>
  </si>
  <si>
    <t xml:space="preserve">MECE</t>
  </si>
  <si>
    <t xml:space="preserve">ZONES</t>
  </si>
  <si>
    <t xml:space="preserve">DESCRIPTION</t>
  </si>
  <si>
    <t xml:space="preserve">PERMISSION</t>
  </si>
  <si>
    <t xml:space="preserve">OUTPUT SUFFIX</t>
  </si>
  <si>
    <t xml:space="preserve">Critical risk (legal, billing, auth, PII)</t>
  </si>
  <si>
    <t xml:space="preserve">Human approval required</t>
  </si>
  <si>
    <t xml:space="preserve">⚠️ HUMAN REVIEW REQUIRED</t>
  </si>
  <si>
    <t xml:space="preserve">YELLOW</t>
  </si>
  <si>
    <t xml:space="preserve">Moderate risk (APIs, core logic, configs)</t>
  </si>
  <si>
    <t xml:space="preserve">Draft for review + tests</t>
  </si>
  <si>
    <t xml:space="preserve">📋 DRAFT FOR REVIEW</t>
  </si>
  <si>
    <t xml:space="preserve">Low risk (features, docs, utilities)</t>
  </si>
  <si>
    <t xml:space="preserve">Full autonomy</t>
  </si>
  <si>
    <t xml:space="preserve">None</t>
  </si>
  <si>
    <t xml:space="preserve">TIME BLOCKS</t>
  </si>
  <si>
    <t xml:space="preserve">USAGE</t>
  </si>
  <si>
    <t xml:space="preserve">EXAMPLES</t>
  </si>
  <si>
    <t xml:space="preserve">1 min</t>
  </si>
  <si>
    <t xml:space="preserve">Quick lookups, single-line fixes</t>
  </si>
  <si>
    <t xml:space="preserve">What is X? Fix typo.</t>
  </si>
  <si>
    <t xml:space="preserve">5 min</t>
  </si>
  <si>
    <t xml:space="preserve">Small refactors, test additions</t>
  </si>
  <si>
    <t xml:space="preserve">Add validation. Write test.</t>
  </si>
  <si>
    <t xml:space="preserve">10 min</t>
  </si>
  <si>
    <t xml:space="preserve">Feature scaffolds, API endpoints</t>
  </si>
  <si>
    <t xml:space="preserve">Create endpoint. Build component.</t>
  </si>
  <si>
    <t xml:space="preserve">30 min</t>
  </si>
  <si>
    <t xml:space="preserve">Full feature implementation</t>
  </si>
  <si>
    <t xml:space="preserve">Complete feature. Integration.</t>
  </si>
  <si>
    <t xml:space="preserve">1 hour</t>
  </si>
  <si>
    <t xml:space="preserve">Complex integrations, migrations</t>
  </si>
  <si>
    <t xml:space="preserve">Major refactor. System design.</t>
  </si>
  <si>
    <t xml:space="preserve">&gt;2 hours</t>
  </si>
  <si>
    <t xml:space="preserve">WARNING: Could fuck your day Alan</t>
  </si>
  <si>
    <t xml:space="preserve">SPLIT INTO SMALLER BLOCKS</t>
  </si>
  <si>
    <t xml:space="preserve">BYPASS COMMANDS</t>
  </si>
  <si>
    <t xml:space="preserve">Prefix: *</t>
  </si>
  <si>
    <t xml:space="preserve">Skip refinement, execute original</t>
  </si>
  <si>
    <t xml:space="preserve">claude '* just do it'</t>
  </si>
  <si>
    <t xml:space="preserve">Prefix: !</t>
  </si>
  <si>
    <t xml:space="preserve">claude '! raw mode'</t>
  </si>
  <si>
    <t xml:space="preserve">Slash /</t>
  </si>
  <si>
    <t xml:space="preserve">Commands always bypass</t>
  </si>
  <si>
    <t xml:space="preserve">claude '/help'</t>
  </si>
  <si>
    <t xml:space="preserve">SCORING GATES</t>
  </si>
  <si>
    <t xml:space="preserve">SCORE RANGE</t>
  </si>
  <si>
    <t xml:space="preserve">ACTION</t>
  </si>
  <si>
    <t xml:space="preserve">REJECT</t>
  </si>
  <si>
    <t xml:space="preserve">&lt; 65</t>
  </si>
  <si>
    <t xml:space="preserve">Rewrite prompt</t>
  </si>
  <si>
    <t xml:space="preserve">REFINE</t>
  </si>
  <si>
    <t xml:space="preserve">65-95</t>
  </si>
  <si>
    <t xml:space="preserve">Address weak dimensions</t>
  </si>
  <si>
    <t xml:space="preserve">EXECUTE</t>
  </si>
  <si>
    <t xml:space="preserve">95-115</t>
  </si>
  <si>
    <t xml:space="preserve">Proceed with caution</t>
  </si>
  <si>
    <t xml:space="preserve">SHIP</t>
  </si>
  <si>
    <t xml:space="preserve">115+</t>
  </si>
  <si>
    <t xml:space="preserve">Full speed ahead</t>
  </si>
  <si>
    <t xml:space="preserve">PROMPT WIZARD - Interactive Builder</t>
  </si>
  <si>
    <t xml:space="preserve">STEP 1: SELECT DOMAIN</t>
  </si>
  <si>
    <t xml:space="preserve">Domain:</t>
  </si>
  <si>
    <t xml:space="preserve">(dropdown: LEGAL, BUSINESS, TECHNICAL, FAMILY, RESEARCH)</t>
  </si>
  <si>
    <t xml:space="preserve">Subdomain:</t>
  </si>
  <si>
    <t xml:space="preserve">debugging</t>
  </si>
  <si>
    <t xml:space="preserve">(auto-populated based on domain)</t>
  </si>
  <si>
    <t xml:space="preserve">STEP 2: SELECT GOAL</t>
  </si>
  <si>
    <t xml:space="preserve">Primary Goal:</t>
  </si>
  <si>
    <t xml:space="preserve">(dropdown: G1, G2, G3, G4, G5)</t>
  </si>
  <si>
    <t xml:space="preserve">Goal Name:</t>
  </si>
  <si>
    <t xml:space="preserve">STEP 3: AUTO-SELECTIONS</t>
  </si>
  <si>
    <t xml:space="preserve">Framework:</t>
  </si>
  <si>
    <t xml:space="preserve">(auto-selected based on domain)</t>
  </si>
  <si>
    <t xml:space="preserve">Zone:</t>
  </si>
  <si>
    <t xml:space="preserve">Time Block:</t>
  </si>
  <si>
    <t xml:space="preserve">10min</t>
  </si>
  <si>
    <t xml:space="preserve">(dropdown: 1min, 5min, 10min, 30min, 1hr)</t>
  </si>
  <si>
    <t xml:space="preserve">STEP 4: BUILD PROMPT</t>
  </si>
  <si>
    <t xml:space="preserve">Role:</t>
  </si>
  <si>
    <t xml:space="preserve">Senior Python debugger</t>
  </si>
  <si>
    <t xml:space="preserve">Context:</t>
  </si>
  <si>
    <t xml:space="preserve">Django REST API, user auth module</t>
  </si>
  <si>
    <t xml:space="preserve">Task:</t>
  </si>
  <si>
    <t xml:space="preserve">Identify root cause of TypeError</t>
  </si>
  <si>
    <t xml:space="preserve">Requirements:</t>
  </si>
  <si>
    <t xml:space="preserve">Use 5 Whys analysis, trace full stack</t>
  </si>
  <si>
    <t xml:space="preserve">Output:</t>
  </si>
  <si>
    <t xml:space="preserve">Fix + test + explanation</t>
  </si>
  <si>
    <t xml:space="preserve">Constraints:</t>
  </si>
  <si>
    <t xml:space="preserve">Complete in 10 minutes</t>
  </si>
  <si>
    <t xml:space="preserve">STEP 5: ASSUMPTIONS CHECK</t>
  </si>
  <si>
    <t xml:space="preserve">Assumption 1:</t>
  </si>
  <si>
    <t xml:space="preserve">Error is reproducible</t>
  </si>
  <si>
    <t xml:space="preserve">Verified?</t>
  </si>
  <si>
    <t xml:space="preserve">YES</t>
  </si>
  <si>
    <t xml:space="preserve">Assumption 2:</t>
  </si>
  <si>
    <t xml:space="preserve">Stack trace available</t>
  </si>
  <si>
    <t xml:space="preserve">Assumption 3:</t>
  </si>
  <si>
    <t xml:space="preserve">Tests exist for module</t>
  </si>
  <si>
    <t xml:space="preserve">NO</t>
  </si>
  <si>
    <t xml:space="preserve">Unverified Count:</t>
  </si>
  <si>
    <t xml:space="preserve">STEP 6: ROADBLOCK PRE-MORTEM</t>
  </si>
  <si>
    <t xml:space="preserve">Potential Roadblock 1:</t>
  </si>
  <si>
    <t xml:space="preserve">Dependency issue</t>
  </si>
  <si>
    <t xml:space="preserve">Mitigation:</t>
  </si>
  <si>
    <t xml:space="preserve">Check requirements.txt first</t>
  </si>
  <si>
    <t xml:space="preserve">Potential Roadblock 2:</t>
  </si>
  <si>
    <t xml:space="preserve">Environment mismatch</t>
  </si>
  <si>
    <t xml:space="preserve">Verify Python version</t>
  </si>
  <si>
    <t xml:space="preserve">STEP 7: SCORING</t>
  </si>
  <si>
    <t xml:space="preserve">Dimension</t>
  </si>
  <si>
    <t xml:space="preserve">Score (1-10)</t>
  </si>
  <si>
    <t xml:space="preserve">Weight</t>
  </si>
  <si>
    <t xml:space="preserve">Goal Alignment</t>
  </si>
  <si>
    <t xml:space="preserve">9</t>
  </si>
  <si>
    <t xml:space="preserve">2</t>
  </si>
  <si>
    <t xml:space="preserve">Intent Clarity</t>
  </si>
  <si>
    <t xml:space="preserve">8</t>
  </si>
  <si>
    <t xml:space="preserve">1.5</t>
  </si>
  <si>
    <t xml:space="preserve">Domain Fit</t>
  </si>
  <si>
    <t xml:space="preserve">10</t>
  </si>
  <si>
    <t xml:space="preserve">1</t>
  </si>
  <si>
    <t xml:space="preserve">Demand Precision</t>
  </si>
  <si>
    <t xml:space="preserve">Assumption Load</t>
  </si>
  <si>
    <t xml:space="preserve">7</t>
  </si>
  <si>
    <t xml:space="preserve">Framework Fit</t>
  </si>
  <si>
    <t xml:space="preserve">Output Format</t>
  </si>
  <si>
    <t xml:space="preserve">Time Block Fit</t>
  </si>
  <si>
    <t xml:space="preserve">Zone Compliance</t>
  </si>
  <si>
    <t xml:space="preserve">Leverage Factor</t>
  </si>
  <si>
    <t xml:space="preserve">TOTAL SCORE:</t>
  </si>
  <si>
    <t xml:space="preserve">/130</t>
  </si>
  <si>
    <t xml:space="preserve">GATE:</t>
  </si>
  <si>
    <t xml:space="preserve">COMPETITIVE ANALYSIS - Prompt Refiner vs Competitors</t>
  </si>
  <si>
    <t xml:space="preserve">Feature</t>
  </si>
  <si>
    <t xml:space="preserve">Our System</t>
  </si>
  <si>
    <t xml:space="preserve">MS PromptWizard</t>
  </si>
  <si>
    <t xml:space="preserve">Juma/TeamGPT</t>
  </si>
  <si>
    <t xml:space="preserve">DeepEval</t>
  </si>
  <si>
    <t xml:space="preserve">Promptfoo</t>
  </si>
  <si>
    <t xml:space="preserve">Helicone</t>
  </si>
  <si>
    <t xml:space="preserve">Pre-execution scoring</t>
  </si>
  <si>
    <t xml:space="preserve">Shows transformation diff</t>
  </si>
  <si>
    <t xml:space="preserve">Human approval gate</t>
  </si>
  <si>
    <t xml:space="preserve">Domain auto-detection</t>
  </si>
  <si>
    <t xml:space="preserve">Partial</t>
  </si>
  <si>
    <t xml:space="preserve">Framework auto-selection</t>
  </si>
  <si>
    <t xml:space="preserve">Life goal integration (G1-G5)</t>
  </si>
  <si>
    <t xml:space="preserve">Zone-based risk gates</t>
  </si>
  <si>
    <t xml:space="preserve">Time block integration</t>
  </si>
  <si>
    <t xml:space="preserve">Roadblock pre-mortem</t>
  </si>
  <si>
    <t xml:space="preserve">VS Protocol allocation</t>
  </si>
  <si>
    <t xml:space="preserve">Uses cheap model (Haiku)</t>
  </si>
  <si>
    <t xml:space="preserve">N/A</t>
  </si>
  <si>
    <t xml:space="preserve">Same model</t>
  </si>
  <si>
    <t xml:space="preserve">Bypass with prefix</t>
  </si>
  <si>
    <t xml:space="preserve">CLI hook integration</t>
  </si>
  <si>
    <t xml:space="preserve">UNIQUE FEATURES COUNT</t>
  </si>
  <si>
    <t xml:space="preserve">12</t>
  </si>
  <si>
    <t xml:space="preserve">0</t>
  </si>
  <si>
    <t xml:space="preserve">DIFFERENTIATION SUMMARY</t>
  </si>
  <si>
    <t xml:space="preserve">We are the ONLY system that:</t>
  </si>
  <si>
    <t xml:space="preserve">1. Shows the user what transformation happened</t>
  </si>
  <si>
    <t xml:space="preserve">2. Scores prompts BEFORE execution (not after)</t>
  </si>
  <si>
    <t xml:space="preserve">3. Integrates personal life goals into prompt optimization</t>
  </si>
  <si>
    <t xml:space="preserve">4. Uses domain-specific assumption/observation databases</t>
  </si>
  <si>
    <t xml:space="preserve">5. Has zone-based risk gates (RED/YELLOW/GREEN)</t>
  </si>
  <si>
    <t xml:space="preserve">6. Uses billionaire-speed time block constraints</t>
  </si>
  <si>
    <t xml:space="preserve">7. Performs pre-mortem roadblock analysis</t>
  </si>
  <si>
    <t xml:space="preserve">DOMAIN TAXONOMY - Assumptions, Observations, Structure</t>
  </si>
  <si>
    <t xml:space="preserve">Domain</t>
  </si>
  <si>
    <t xml:space="preserve">Subdomain</t>
  </si>
  <si>
    <t xml:space="preserve">Key Assumptions</t>
  </si>
  <si>
    <t xml:space="preserve">Key Observations</t>
  </si>
  <si>
    <t xml:space="preserve">Prompt Structure</t>
  </si>
  <si>
    <t xml:space="preserve">Sources</t>
  </si>
  <si>
    <t xml:space="preserve">Zone</t>
  </si>
  <si>
    <t xml:space="preserve">Litigation</t>
  </si>
  <si>
    <t xml:space="preserve">Court deadlines immutable; Opposing counsel competent; Precedent applies</t>
  </si>
  <si>
    <t xml:space="preserve">Federal cases need scrutiny; Local rules override; Judge tendencies matter</t>
  </si>
  <si>
    <t xml:space="preserve">Role: Legal analyst | IRAC | Issue-Rule-Application-Conclusion</t>
  </si>
  <si>
    <t xml:space="preserve">CourtListener, Westlaw, Case files</t>
  </si>
  <si>
    <t xml:space="preserve">Bankruptcy</t>
  </si>
  <si>
    <t xml:space="preserve">Filing deadlines strict; Creditor rights vary; Exemptions jurisdiction-specific</t>
  </si>
  <si>
    <t xml:space="preserve">Chapter choice impacts outcomes; Trustee preferences matter</t>
  </si>
  <si>
    <t xml:space="preserve">Role: Bankruptcy specialist | MECE + IRAC</t>
  </si>
  <si>
    <t xml:space="preserve">PACER, Bankruptcy Code</t>
  </si>
  <si>
    <t xml:space="preserve">Family</t>
  </si>
  <si>
    <t xml:space="preserve">Best interest of child standard; Jurisdiction matters; Documentation critical</t>
  </si>
  <si>
    <t xml:space="preserve">Mediation often preferred; Custody factors vary by state</t>
  </si>
  <si>
    <t xml:space="preserve">Role: Family law analyst | Perspective + IRAC</t>
  </si>
  <si>
    <t xml:space="preserve">State family codes, Local rules</t>
  </si>
  <si>
    <t xml:space="preserve">Criminal</t>
  </si>
  <si>
    <t xml:space="preserve">Presumption of innocence; Discovery rules; Speedy trial rights</t>
  </si>
  <si>
    <t xml:space="preserve">Prosecution has burden; Plea deals common; Sentencing guidelines</t>
  </si>
  <si>
    <t xml:space="preserve">Role: Criminal defense analyst | Red Team + IRAC</t>
  </si>
  <si>
    <t xml:space="preserve">Federal sentencing guidelines, Case law</t>
  </si>
  <si>
    <t xml:space="preserve">Revenue</t>
  </si>
  <si>
    <t xml:space="preserve">Market exists; Customer has budget; PMF achievable</t>
  </si>
  <si>
    <t xml:space="preserve">CAC/LTV varies by channel; Churn compounds; Pricing is strongest lever</t>
  </si>
  <si>
    <t xml:space="preserve">Role: Revenue strategist | JTBD | Segment-Need-Solution-Price</t>
  </si>
  <si>
    <t xml:space="preserve">Market research, CRM data</t>
  </si>
  <si>
    <t xml:space="preserve">Growth</t>
  </si>
  <si>
    <t xml:space="preserve">Channels exist; Budget available; Team can execute</t>
  </si>
  <si>
    <t xml:space="preserve">First channel wins; Diversification later; Referrals cheapest</t>
  </si>
  <si>
    <t xml:space="preserve">Role: Growth strategist | OODA + First Principles</t>
  </si>
  <si>
    <t xml:space="preserve">Analytics, Competitor data</t>
  </si>
  <si>
    <t xml:space="preserve">Operations</t>
  </si>
  <si>
    <t xml:space="preserve">Process can improve; Constraints identifiable; Metrics exist</t>
  </si>
  <si>
    <t xml:space="preserve">Bottleneck drives system; Automation risky early; People problems common</t>
  </si>
  <si>
    <t xml:space="preserve">Role: Ops optimizer | TOC + PDCA</t>
  </si>
  <si>
    <t xml:space="preserve">Process docs, Metrics dashboards</t>
  </si>
  <si>
    <t xml:space="preserve">Debugging</t>
  </si>
  <si>
    <t xml:space="preserve">Error reproducible; Stack trace available; Tests may exist</t>
  </si>
  <si>
    <t xml:space="preserve">Edge cases break systems; Root cause often deep; Quick fixes compound debt</t>
  </si>
  <si>
    <t xml:space="preserve">Role: Senior debugger | 5 Whys | Symptom-Cause-Fix-Test</t>
  </si>
  <si>
    <t xml:space="preserve">Error logs, Docs, Stack Overflow</t>
  </si>
  <si>
    <t xml:space="preserve">Development</t>
  </si>
  <si>
    <t xml:space="preserve">Requirements understood; Stack chosen; Tests expected</t>
  </si>
  <si>
    <t xml:space="preserve">Simple &gt; clever; Iteration speed matters; Tech debt compounds</t>
  </si>
  <si>
    <t xml:space="preserve">Role: Senior engineer | CoT | Input-Process-Output-Tests</t>
  </si>
  <si>
    <t xml:space="preserve">Docs, GitHub, Architecture docs</t>
  </si>
  <si>
    <t xml:space="preserve">Infrastructure</t>
  </si>
  <si>
    <t xml:space="preserve">Resources available; Monitoring exists; Rollback possible</t>
  </si>
  <si>
    <t xml:space="preserve">Gradual rollout safer; Observability critical; Cost often hidden</t>
  </si>
  <si>
    <t xml:space="preserve">Role: DevOps engineer | Pre-Mortem + PDCA</t>
  </si>
  <si>
    <t xml:space="preserve">Cloud docs, Monitoring dashboards</t>
  </si>
  <si>
    <t xml:space="preserve">Parenting</t>
  </si>
  <si>
    <t xml:space="preserve">Kids' needs evolve; Consistency matters; Time is limited</t>
  </si>
  <si>
    <t xml:space="preserve">Quality &gt; quantity; Routines stabilize; Communication key</t>
  </si>
  <si>
    <t xml:space="preserve">Role: Parent advisor | Perspective + Eisenhower</t>
  </si>
  <si>
    <t xml:space="preserve">Parenting resources, School docs</t>
  </si>
  <si>
    <t xml:space="preserve">Relationship</t>
  </si>
  <si>
    <t xml:space="preserve">Both perspectives valid; History matters; Change takes time</t>
  </si>
  <si>
    <t xml:space="preserve">Small gestures compound; Assumptions cause conflict; Active listening works</t>
  </si>
  <si>
    <t xml:space="preserve">Role: Relationship coach | Perspective + 5 Whys</t>
  </si>
  <si>
    <t xml:space="preserve">Couple's notes, Shared calendar</t>
  </si>
  <si>
    <t xml:space="preserve">Competitive</t>
  </si>
  <si>
    <t xml:space="preserve">Data available; Competitors identifiable; Market defined</t>
  </si>
  <si>
    <t xml:space="preserve">Primary sources &gt; secondary; Recent &gt; historical; Multiple sources needed</t>
  </si>
  <si>
    <t xml:space="preserve">Role: Competitive analyst | MECE + Wardley</t>
  </si>
  <si>
    <t xml:space="preserve">Market reports, Competitor sites</t>
  </si>
  <si>
    <t xml:space="preserve">Technical</t>
  </si>
  <si>
    <t xml:space="preserve">Documentation exists; Benchmarks available; Criteria clear</t>
  </si>
  <si>
    <t xml:space="preserve">Official docs &gt; blogs; Version matters; Edge cases matter</t>
  </si>
  <si>
    <t xml:space="preserve">Role: Technical researcher | CoT + MECE</t>
  </si>
  <si>
    <t xml:space="preserve">Official docs, Papers, GitHub</t>
  </si>
  <si>
    <t xml:space="preserve">PROMPT SCORING - 10 Dimension System (Max 130)</t>
  </si>
  <si>
    <t xml:space="preserve">#</t>
  </si>
  <si>
    <t xml:space="preserve">Question</t>
  </si>
  <si>
    <t xml:space="preserve">Max Weighted</t>
  </si>
  <si>
    <t xml:space="preserve">Does this directly advance G1-G5?</t>
  </si>
  <si>
    <t xml:space="preserve">2.0</t>
  </si>
  <si>
    <t xml:space="preserve">20</t>
  </si>
  <si>
    <t xml:space="preserve">Clear intent and demand defined?</t>
  </si>
  <si>
    <t xml:space="preserve">15</t>
  </si>
  <si>
    <t xml:space="preserve">3</t>
  </si>
  <si>
    <t xml:space="preserve">Correct domain and subdomain detected?</t>
  </si>
  <si>
    <t xml:space="preserve">1.0</t>
  </si>
  <si>
    <t xml:space="preserve">4</t>
  </si>
  <si>
    <t xml:space="preserve">Specific, actionable ask articulated?</t>
  </si>
  <si>
    <t xml:space="preserve">5</t>
  </si>
  <si>
    <t xml:space="preserve">Few unverified assumptions? (inverse)</t>
  </si>
  <si>
    <t xml:space="preserve">6</t>
  </si>
  <si>
    <t xml:space="preserve">Right framework for problem type?</t>
  </si>
  <si>
    <t xml:space="preserve">Deliverable format clearly defined?</t>
  </si>
  <si>
    <t xml:space="preserve">Achievable in stated time block?</t>
  </si>
  <si>
    <t xml:space="preserve">Appropriate zone for action type?</t>
  </si>
  <si>
    <t xml:space="preserve">Does output compound future work?</t>
  </si>
  <si>
    <t xml:space="preserve">TOTAL</t>
  </si>
  <si>
    <t xml:space="preserve">130</t>
  </si>
  <si>
    <t xml:space="preserve">Gate</t>
  </si>
  <si>
    <t xml:space="preserve">Score Range</t>
  </si>
  <si>
    <t xml:space="preserve">Action</t>
  </si>
  <si>
    <t xml:space="preserve">Color</t>
  </si>
  <si>
    <t xml:space="preserve">Rewrite prompt entirely</t>
  </si>
  <si>
    <t xml:space="preserve">Red</t>
  </si>
  <si>
    <t xml:space="preserve">65 - 94</t>
  </si>
  <si>
    <t xml:space="preserve">Yellow</t>
  </si>
  <si>
    <t xml:space="preserve">95 - 114</t>
  </si>
  <si>
    <t xml:space="preserve">Proceed with appropriate caution</t>
  </si>
  <si>
    <t xml:space="preserve">Light Green</t>
  </si>
  <si>
    <t xml:space="preserve">115 - 130</t>
  </si>
  <si>
    <t xml:space="preserve">Full speed ahead, no hesitation</t>
  </si>
  <si>
    <t xml:space="preserve">Dark Green</t>
  </si>
  <si>
    <t xml:space="preserve">ASSUMPTION ADJUSTMENT</t>
  </si>
  <si>
    <t xml:space="preserve">Unverified Count</t>
  </si>
  <si>
    <t xml:space="preserve">Probability Multiplier</t>
  </si>
  <si>
    <t xml:space="preserve">P × 1.0 (unchanged)</t>
  </si>
  <si>
    <t xml:space="preserve">1-2</t>
  </si>
  <si>
    <t xml:space="preserve">P × 0.8</t>
  </si>
  <si>
    <t xml:space="preserve">3+</t>
  </si>
  <si>
    <t xml:space="preserve">P × 0.5</t>
  </si>
  <si>
    <t xml:space="preserve">FRAMEWORK MATRIX - 16 Frameworks</t>
  </si>
  <si>
    <t xml:space="preserve">Framework</t>
  </si>
  <si>
    <t xml:space="preserve">Best For</t>
  </si>
  <si>
    <t xml:space="preserve">Structure</t>
  </si>
  <si>
    <t xml:space="preserve">Goal Fit</t>
  </si>
  <si>
    <t xml:space="preserve">Complexity</t>
  </si>
  <si>
    <t xml:space="preserve">Time Blocks</t>
  </si>
  <si>
    <t xml:space="preserve">Legal analysis, case briefing</t>
  </si>
  <si>
    <t xml:space="preserve">Issue → Rule → Application → Conclusion</t>
  </si>
  <si>
    <t xml:space="preserve">G1,G2,G3</t>
  </si>
  <si>
    <t xml:space="preserve">Medium</t>
  </si>
  <si>
    <t xml:space="preserve">10min-1hr</t>
  </si>
  <si>
    <t xml:space="preserve">Decomposition, categorization</t>
  </si>
  <si>
    <t xml:space="preserve">Non-overlapping, complete categories</t>
  </si>
  <si>
    <t xml:space="preserve">G1,G2,G5</t>
  </si>
  <si>
    <t xml:space="preserve">5min-30min</t>
  </si>
  <si>
    <t xml:space="preserve">OODA</t>
  </si>
  <si>
    <t xml:space="preserve">Rapid decisions, crisis response</t>
  </si>
  <si>
    <t xml:space="preserve">Observe → Orient → Decide → Act</t>
  </si>
  <si>
    <t xml:space="preserve">G3,G5</t>
  </si>
  <si>
    <t xml:space="preserve">Low</t>
  </si>
  <si>
    <t xml:space="preserve">1min-10min</t>
  </si>
  <si>
    <t xml:space="preserve">Debugging, root cause</t>
  </si>
  <si>
    <t xml:space="preserve">Why? (5x) → Root Cause → Solution</t>
  </si>
  <si>
    <t xml:space="preserve">G4,G5</t>
  </si>
  <si>
    <t xml:space="preserve">5min-10min</t>
  </si>
  <si>
    <t xml:space="preserve">Customer insight, revenue</t>
  </si>
  <si>
    <t xml:space="preserve">When [situation], I want [job], so I can [outcome]</t>
  </si>
  <si>
    <t xml:space="preserve">10min-30min</t>
  </si>
  <si>
    <t xml:space="preserve">PRE-MORTEM</t>
  </si>
  <si>
    <t xml:space="preserve">Risk assessment, failure prevention</t>
  </si>
  <si>
    <t xml:space="preserve">Assume failure → Identify causes → Prevent</t>
  </si>
  <si>
    <t xml:space="preserve">G1-G5</t>
  </si>
  <si>
    <t xml:space="preserve">WARDLEY</t>
  </si>
  <si>
    <t xml:space="preserve">Strategic positioning, market</t>
  </si>
  <si>
    <t xml:space="preserve">Value Chain → Evolution Stage → Strategy</t>
  </si>
  <si>
    <t xml:space="preserve">High</t>
  </si>
  <si>
    <t xml:space="preserve">30min-1hr</t>
  </si>
  <si>
    <t xml:space="preserve">COT</t>
  </si>
  <si>
    <t xml:space="preserve">Complex reasoning, derivation</t>
  </si>
  <si>
    <t xml:space="preserve">Step 1 → Step 2 → ... → Conclusion</t>
  </si>
  <si>
    <t xml:space="preserve">G2,G5</t>
  </si>
  <si>
    <t xml:space="preserve">Relationships, conflicts</t>
  </si>
  <si>
    <t xml:space="preserve">Your view → Their view → Shared view → Action</t>
  </si>
  <si>
    <t xml:space="preserve">FIRST PRINCIPLES</t>
  </si>
  <si>
    <t xml:space="preserve">Challenge assumptions, innovation</t>
  </si>
  <si>
    <t xml:space="preserve">Assumption → Fundamental truth → Rebuild</t>
  </si>
  <si>
    <t xml:space="preserve">INVERSION</t>
  </si>
  <si>
    <t xml:space="preserve">Risk mitigation, defense</t>
  </si>
  <si>
    <t xml:space="preserve">How to fail → Invert → How to succeed</t>
  </si>
  <si>
    <t xml:space="preserve">RED TEAM</t>
  </si>
  <si>
    <t xml:space="preserve">Adversarial testing, security</t>
  </si>
  <si>
    <t xml:space="preserve">Attack (red) → Defend (blue) → Iterate</t>
  </si>
  <si>
    <t xml:space="preserve">G2</t>
  </si>
  <si>
    <t xml:space="preserve">SCAMPER</t>
  </si>
  <si>
    <t xml:space="preserve">Product innovation, ideation</t>
  </si>
  <si>
    <t xml:space="preserve">Substitute, Combine, Adapt, Modify, Put to use, Eliminate, Reverse</t>
  </si>
  <si>
    <t xml:space="preserve">EISENHOWER</t>
  </si>
  <si>
    <t xml:space="preserve">Prioritization, triage</t>
  </si>
  <si>
    <t xml:space="preserve">Urgent/Important → Quadrant → Action</t>
  </si>
  <si>
    <t xml:space="preserve">1min-5min</t>
  </si>
  <si>
    <t xml:space="preserve">PDCA</t>
  </si>
  <si>
    <t xml:space="preserve">Process improvement, iteration</t>
  </si>
  <si>
    <t xml:space="preserve">Plan → Do → Check → Act → Repeat</t>
  </si>
  <si>
    <t xml:space="preserve">TOC</t>
  </si>
  <si>
    <t xml:space="preserve">Bottleneck elimination, scaling</t>
  </si>
  <si>
    <t xml:space="preserve">Identify constraint → Exploit → Subordinate → Elevate</t>
  </si>
  <si>
    <t xml:space="preserve">ROADBLOCK DATABASE - Pre-Mortem Failure Patterns</t>
  </si>
  <si>
    <t xml:space="preserve">Roadblock</t>
  </si>
  <si>
    <t xml:space="preserve">Probability</t>
  </si>
  <si>
    <t xml:space="preserve">Mitigation 1</t>
  </si>
  <si>
    <t xml:space="preserve">Mitigation 2</t>
  </si>
  <si>
    <t xml:space="preserve">Missing deadline</t>
  </si>
  <si>
    <t xml:space="preserve">HIGH</t>
  </si>
  <si>
    <t xml:space="preserve">Calendar all dates immediately</t>
  </si>
  <si>
    <t xml:space="preserve">Set 72hr early warning</t>
  </si>
  <si>
    <t xml:space="preserve">Discovery gaps</t>
  </si>
  <si>
    <t xml:space="preserve">MEDIUM</t>
  </si>
  <si>
    <t xml:space="preserve">Comprehensive checklist upfront</t>
  </si>
  <si>
    <t xml:space="preserve">Request extensions early</t>
  </si>
  <si>
    <t xml:space="preserve">Adverse ruling</t>
  </si>
  <si>
    <t xml:space="preserve">Prepare appeal strategy in advance</t>
  </si>
  <si>
    <t xml:space="preserve">Have fallback positions</t>
  </si>
  <si>
    <t xml:space="preserve">Opposing motion surprise</t>
  </si>
  <si>
    <t xml:space="preserve">Monitor docket daily</t>
  </si>
  <si>
    <t xml:space="preserve">Anticipate common attacks</t>
  </si>
  <si>
    <t xml:space="preserve">Payment processing failure</t>
  </si>
  <si>
    <t xml:space="preserve">LOW</t>
  </si>
  <si>
    <t xml:space="preserve">Multiple payment providers</t>
  </si>
  <si>
    <t xml:space="preserve">Manual fallback process</t>
  </si>
  <si>
    <t xml:space="preserve">Lead quality issues</t>
  </si>
  <si>
    <t xml:space="preserve">Qualification criteria upfront</t>
  </si>
  <si>
    <t xml:space="preserve">Quick disqualification process</t>
  </si>
  <si>
    <t xml:space="preserve">Scope creep</t>
  </si>
  <si>
    <t xml:space="preserve">Written SOW with change process</t>
  </si>
  <si>
    <t xml:space="preserve">Regular scope reviews</t>
  </si>
  <si>
    <t xml:space="preserve">Customer churn spike</t>
  </si>
  <si>
    <t xml:space="preserve">Health score monitoring</t>
  </si>
  <si>
    <t xml:space="preserve">Proactive outreach triggers</t>
  </si>
  <si>
    <t xml:space="preserve">Dependency hell</t>
  </si>
  <si>
    <t xml:space="preserve">Lock versions, test locally first</t>
  </si>
  <si>
    <t xml:space="preserve">Have rollback plan</t>
  </si>
  <si>
    <t xml:space="preserve">API rate limits</t>
  </si>
  <si>
    <t xml:space="preserve">Implement caching layer</t>
  </si>
  <si>
    <t xml:space="preserve">Request limit increases</t>
  </si>
  <si>
    <t xml:space="preserve">Deployment failures</t>
  </si>
  <si>
    <t xml:space="preserve">Staging environment tests</t>
  </si>
  <si>
    <t xml:space="preserve">Blue-green deployment</t>
  </si>
  <si>
    <t xml:space="preserve">Data migration issues</t>
  </si>
  <si>
    <t xml:space="preserve">Test with prod data copy</t>
  </si>
  <si>
    <t xml:space="preserve">Reversible migrations only</t>
  </si>
  <si>
    <t xml:space="preserve">Schedule conflicts</t>
  </si>
  <si>
    <t xml:space="preserve">Shared calendar updates</t>
  </si>
  <si>
    <t xml:space="preserve">Weekly sync meetings</t>
  </si>
  <si>
    <t xml:space="preserve">Communication breakdown</t>
  </si>
  <si>
    <t xml:space="preserve">Regular check-ins</t>
  </si>
  <si>
    <t xml:space="preserve">Written follow-ups</t>
  </si>
  <si>
    <t xml:space="preserve">Data unavailable</t>
  </si>
  <si>
    <t xml:space="preserve">Multiple source strategy</t>
  </si>
  <si>
    <t xml:space="preserve">Proxy metrics identified</t>
  </si>
  <si>
    <t xml:space="preserve">Scope too broad</t>
  </si>
  <si>
    <t xml:space="preserve">Time-box research phases</t>
  </si>
  <si>
    <t xml:space="preserve">Define done criteria upfront</t>
  </si>
  <si>
    <t xml:space="preserve">PROMPT LIBRARY - Save Winning Prompts</t>
  </si>
  <si>
    <t xml:space="preserve">ID</t>
  </si>
  <si>
    <t xml:space="preserve">Goal</t>
  </si>
  <si>
    <t xml:space="preserve">Pre-Score</t>
  </si>
  <si>
    <t xml:space="preserve">Post-Score</t>
  </si>
  <si>
    <t xml:space="preserve">Full Prompt</t>
  </si>
  <si>
    <t xml:space="preserve">Learnings</t>
  </si>
  <si>
    <t xml:space="preserve">P001</t>
  </si>
  <si>
    <t xml:space="preserve">45</t>
  </si>
  <si>
    <t xml:space="preserve">112</t>
  </si>
  <si>
    <t xml:space="preserve">Role: Federal defense analyst | Context: Wire fraud charges | Task: IRAC analysis of evidence gaps | Output: Defense strategy memo</t>
  </si>
  <si>
    <t xml:space="preserve">IRAC structure critical for legal</t>
  </si>
  <si>
    <t xml:space="preserve">P002</t>
  </si>
  <si>
    <t xml:space="preserve">38</t>
  </si>
  <si>
    <t xml:space="preserve">108</t>
  </si>
  <si>
    <t xml:space="preserve">Role: Revenue strategist | Context: Pet dental vertical | Task: JTBD analysis of customer segments | Output: Pricing matrix</t>
  </si>
  <si>
    <t xml:space="preserve">JTBD reveals hidden segments</t>
  </si>
  <si>
    <t xml:space="preserve">P003</t>
  </si>
  <si>
    <t xml:space="preserve">52</t>
  </si>
  <si>
    <t xml:space="preserve">95</t>
  </si>
  <si>
    <t xml:space="preserve">Role: Senior Python debugger | Context: Django auth module | Task: 5 Whys root cause analysis | Output: Fix + test</t>
  </si>
  <si>
    <t xml:space="preserve">5 Whys faster than guessing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</si>
  <si>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</si>
  <si>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</si>
  <si>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</si>
  <si>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</si>
  <si>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</si>
  <si>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</si>
  <si>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</si>
  <si>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VS PROTOCOL - Category Probability Allocator</t>
  </si>
  <si>
    <t xml:space="preserve">Category</t>
  </si>
  <si>
    <t xml:space="preserve">Default P</t>
  </si>
  <si>
    <t xml:space="preserve">Adjusted P</t>
  </si>
  <si>
    <t xml:space="preserve">Description</t>
  </si>
  <si>
    <t xml:space="preserve">CONSERVATIVE</t>
  </si>
  <si>
    <t xml:space="preserve">0.25</t>
  </si>
  <si>
    <t xml:space="preserve">Proven, safe, conventional approaches</t>
  </si>
  <si>
    <t xml:space="preserve">AGGRESSIVE</t>
  </si>
  <si>
    <t xml:space="preserve">0.20</t>
  </si>
  <si>
    <t xml:space="preserve">High-risk/high-reward, novel solutions</t>
  </si>
  <si>
    <t xml:space="preserve">CONTRARIAN</t>
  </si>
  <si>
    <t xml:space="preserve">0.15</t>
  </si>
  <si>
    <t xml:space="preserve">Challenges premise, reframes problem</t>
  </si>
  <si>
    <t xml:space="preserve">TACTICAL</t>
  </si>
  <si>
    <t xml:space="preserve">Immediate action, quick wins</t>
  </si>
  <si>
    <t xml:space="preserve">STRATEGIC</t>
  </si>
  <si>
    <t xml:space="preserve">Long-term, systemic solutions</t>
  </si>
  <si>
    <t xml:space="preserve">1.00</t>
  </si>
  <si>
    <t xml:space="preserve">Must equal 1.00</t>
  </si>
  <si>
    <t xml:space="preserve">DOMAIN ANCHORS</t>
  </si>
  <si>
    <t xml:space="preserve">Conservative</t>
  </si>
  <si>
    <t xml:space="preserve">Aggressive</t>
  </si>
  <si>
    <t xml:space="preserve">Notes</t>
  </si>
  <si>
    <t xml:space="preserve">Legal</t>
  </si>
  <si>
    <t xml:space="preserve">0.40</t>
  </si>
  <si>
    <t xml:space="preserve">Safety prioritized</t>
  </si>
  <si>
    <t xml:space="preserve">0.35</t>
  </si>
  <si>
    <t xml:space="preserve">Proven solutions preferred</t>
  </si>
  <si>
    <t xml:space="preserve">Business</t>
  </si>
  <si>
    <t xml:space="preserve">0.30</t>
  </si>
  <si>
    <t xml:space="preserve">Revenue focus allows risk</t>
  </si>
  <si>
    <t xml:space="preserve">General</t>
  </si>
  <si>
    <t xml:space="preserve">Even distribution</t>
  </si>
  <si>
    <t xml:space="preserve">QUALITY GATES</t>
  </si>
  <si>
    <t xml:space="preserve">Mode Collapse Check</t>
  </si>
  <si>
    <t xml:space="preserve">If 3+ responses share framing, regenerate</t>
  </si>
  <si>
    <t xml:space="preserve">No Hedge Words</t>
  </si>
  <si>
    <t xml:space="preserve">Never use 'I think', 'perhaps', 'maybe'</t>
  </si>
  <si>
    <t xml:space="preserve">Uncertainty Flag</t>
  </si>
  <si>
    <t xml:space="preserve">Use [UNCERTAIN] flag when genuine</t>
  </si>
  <si>
    <t xml:space="preserve">GOALS REFERENCE - G1-G5 Master List</t>
  </si>
  <si>
    <t xml:space="preserve">Goal ID</t>
  </si>
  <si>
    <t xml:space="preserve">Name</t>
  </si>
  <si>
    <t xml:space="preserve">Priority</t>
  </si>
  <si>
    <t xml:space="preserve">Success Metrics</t>
  </si>
  <si>
    <t xml:space="preserve">G1</t>
  </si>
  <si>
    <t xml:space="preserve">Bankruptcy Resolution</t>
  </si>
  <si>
    <t xml:space="preserve">CRITICAL</t>
  </si>
  <si>
    <t xml:space="preserve">Case dismissed; Favorable settlement; Debt restructured</t>
  </si>
  <si>
    <t xml:space="preserve">Federal Charges Defense</t>
  </si>
  <si>
    <t xml:space="preserve">Charges dropped; Not guilty; Minimal sentencing</t>
  </si>
  <si>
    <t xml:space="preserve">G3</t>
  </si>
  <si>
    <t xml:space="preserve">Custody Resolution</t>
  </si>
  <si>
    <t xml:space="preserve">Custody agreement; Visitation rights; Child welfare</t>
  </si>
  <si>
    <t xml:space="preserve">Family Harmony</t>
  </si>
  <si>
    <t xml:space="preserve">Quality time; Communication; Relationship health</t>
  </si>
  <si>
    <t xml:space="preserve">$500K/month Revenue</t>
  </si>
  <si>
    <t xml:space="preserve">MRR growth; Customer acquisition; Unit economics</t>
  </si>
  <si>
    <t xml:space="preserve">PRIORITY LEVELS</t>
  </si>
  <si>
    <t xml:space="preserve">Existential - failure has severe life consequences</t>
  </si>
  <si>
    <t xml:space="preserve">Important - significant impact on quality of life</t>
  </si>
  <si>
    <t xml:space="preserve">Valuable - improves outcomes but not critical</t>
  </si>
  <si>
    <t xml:space="preserve">Nice to have - minimal impact if not achieved</t>
  </si>
  <si>
    <t xml:space="preserve">EXECUTION LOG - Track What Worked</t>
  </si>
  <si>
    <t xml:space="preserve">Date</t>
  </si>
  <si>
    <t xml:space="preserve">Prompt ID</t>
  </si>
  <si>
    <t xml:space="preserve">Time Planned</t>
  </si>
  <si>
    <t xml:space="preserve">Time Actual</t>
  </si>
  <si>
    <t xml:space="preserve">Outcome</t>
  </si>
  <si>
    <t xml:space="preserve">Reuse?</t>
  </si>
  <si>
    <t xml:space="preserve">2026-02-26</t>
  </si>
  <si>
    <t xml:space="preserve">30min</t>
  </si>
  <si>
    <t xml:space="preserve">25min</t>
  </si>
  <si>
    <t xml:space="preserve">SUCCESS</t>
  </si>
  <si>
    <t xml:space="preserve">15min</t>
  </si>
  <si>
    <t xml:space="preserve">EVALS TRACKER - Post-Execution Scoring (Max 50)</t>
  </si>
  <si>
    <t xml:space="preserve">Accuracy (1-10)</t>
  </si>
  <si>
    <t xml:space="preserve">Relevance (1-10)</t>
  </si>
  <si>
    <t xml:space="preserve">Completeness (1-10)</t>
  </si>
  <si>
    <t xml:space="preserve">Actionability (1-10)</t>
  </si>
  <si>
    <t xml:space="preserve">Format (1-10)</t>
  </si>
  <si>
    <t xml:space="preserve">Pass?</t>
  </si>
  <si>
    <t xml:space="preserve">TARGET: 40+ for A+ quality</t>
  </si>
  <si>
    <t xml:space="preserve">HOOKS ARCHITECTURE - UserPromptSubmit System</t>
  </si>
  <si>
    <t xml:space="preserve">OVERVIEW</t>
  </si>
  <si>
    <t xml:space="preserve">Component</t>
  </si>
  <si>
    <t xml:space="preserve">Purpose</t>
  </si>
  <si>
    <t xml:space="preserve">Location</t>
  </si>
  <si>
    <t xml:space="preserve">refiner.py</t>
  </si>
  <si>
    <t xml:space="preserve">Main hook - intercepts prompts, calls Haiku, displays diff</t>
  </si>
  <si>
    <t xml:space="preserve">~/MASTER_RULES/hooks/refiner.py</t>
  </si>
  <si>
    <t xml:space="preserve">scorer.py</t>
  </si>
  <si>
    <t xml:space="preserve">10-dimension scoring logic</t>
  </si>
  <si>
    <t xml:space="preserve">~/MASTER_RULES/hooks/scorer.py</t>
  </si>
  <si>
    <t xml:space="preserve">domains.json</t>
  </si>
  <si>
    <t xml:space="preserve">Domain detection rules and triggers</t>
  </si>
  <si>
    <t xml:space="preserve">~/MASTER_RULES/config/domains.json</t>
  </si>
  <si>
    <t xml:space="preserve">frameworks.json</t>
  </si>
  <si>
    <t xml:space="preserve">Framework selection matrix</t>
  </si>
  <si>
    <t xml:space="preserve">~/MASTER_RULES/config/frameworks.json</t>
  </si>
  <si>
    <t xml:space="preserve">goals.json</t>
  </si>
  <si>
    <t xml:space="preserve">G1-G5 definitions</t>
  </si>
  <si>
    <t xml:space="preserve">~/MASTER_RULES/config/goals.json</t>
  </si>
  <si>
    <t xml:space="preserve">settings.json</t>
  </si>
  <si>
    <t xml:space="preserve">Hook configuration for Claude CLI</t>
  </si>
  <si>
    <t xml:space="preserve">~/.claude/settings.json</t>
  </si>
  <si>
    <t xml:space="preserve">CLAUDE.md</t>
  </si>
  <si>
    <t xml:space="preserve">Thin pointer to MASTER_RULES</t>
  </si>
  <si>
    <t xml:space="preserve">~/.claude/CLAUDE.md</t>
  </si>
  <si>
    <t xml:space="preserve">FLOW DIAGRAM</t>
  </si>
  <si>
    <t xml:space="preserve">Step</t>
  </si>
  <si>
    <t xml:space="preserve">Output</t>
  </si>
  <si>
    <t xml:space="preserve">User types prompt in Claude CLI</t>
  </si>
  <si>
    <t xml:space="preserve">Raw prompt string</t>
  </si>
  <si>
    <t xml:space="preserve">UserPromptSubmit hook fires</t>
  </si>
  <si>
    <t xml:space="preserve">Passes prompt to refiner.py</t>
  </si>
  <si>
    <t xml:space="preserve">refiner.py detects domain/goal/framework/zone</t>
  </si>
  <si>
    <t xml:space="preserve">Context object</t>
  </si>
  <si>
    <t xml:space="preserve">refiner.py calls Claude Haiku API</t>
  </si>
  <si>
    <t xml:space="preserve">Refined prompt</t>
  </si>
  <si>
    <t xml:space="preserve">scorer.py scores original and refined</t>
  </si>
  <si>
    <t xml:space="preserve">Scores + gate</t>
  </si>
  <si>
    <t xml:space="preserve">refiner.py outputs approval display</t>
  </si>
  <si>
    <t xml:space="preserve">JSON with additionalContext</t>
  </si>
  <si>
    <t xml:space="preserve">User sees diff in CLI</t>
  </si>
  <si>
    <t xml:space="preserve">Original vs Refined with scores</t>
  </si>
  <si>
    <t xml:space="preserve">Claude executes refined prompt</t>
  </si>
  <si>
    <t xml:space="preserve">A+ quality response</t>
  </si>
  <si>
    <t xml:space="preserve">BYPASS METHODS</t>
  </si>
  <si>
    <t xml:space="preserve">Method</t>
  </si>
  <si>
    <t xml:space="preserve">How</t>
  </si>
  <si>
    <t xml:space="preserve">Example</t>
  </si>
  <si>
    <t xml:space="preserve">* prefix</t>
  </si>
  <si>
    <t xml:space="preserve">Skip refinement entirely</t>
  </si>
  <si>
    <t xml:space="preserve">! prefix</t>
  </si>
  <si>
    <t xml:space="preserve">/ commands</t>
  </si>
  <si>
    <t xml:space="preserve">Slash commands always bypass</t>
  </si>
  <si>
    <t xml:space="preserve">SETTINGS.JSON STRUCTURE</t>
  </si>
  <si>
    <t xml:space="preserve">{</t>
  </si>
  <si>
    <t xml:space="preserve">  "hooks": {</t>
  </si>
  <si>
    <t xml:space="preserve">    "UserPromptSubmit": [{</t>
  </si>
  <si>
    <t xml:space="preserve">      "matcher": "",</t>
  </si>
  <si>
    <t xml:space="preserve">      "hooks": [{</t>
  </si>
  <si>
    <t xml:space="preserve">        "type": "command",</t>
  </si>
  <si>
    <t xml:space="preserve">        "command": "python3 ~/MASTER_RULES/hooks/refiner.py"</t>
  </si>
  <si>
    <t xml:space="preserve">      }]</t>
  </si>
  <si>
    <t xml:space="preserve">    }]</t>
  </si>
  <si>
    <t xml:space="preserve">  }</t>
  </si>
  <si>
    <t xml:space="preserve">}</t>
  </si>
  <si>
    <t xml:space="preserve">INSTALLATION GUIDE - Step by Step</t>
  </si>
  <si>
    <t xml:space="preserve">PREREQUISITES</t>
  </si>
  <si>
    <t xml:space="preserve">Requirement</t>
  </si>
  <si>
    <t xml:space="preserve">How to Check</t>
  </si>
  <si>
    <t xml:space="preserve">How to Install</t>
  </si>
  <si>
    <t xml:space="preserve">Python 3.10+</t>
  </si>
  <si>
    <t xml:space="preserve">python3 --version</t>
  </si>
  <si>
    <t xml:space="preserve">brew install python@3.11</t>
  </si>
  <si>
    <t xml:space="preserve">pip</t>
  </si>
  <si>
    <t xml:space="preserve">pip --version</t>
  </si>
  <si>
    <t xml:space="preserve">python3 -m ensurepip</t>
  </si>
  <si>
    <t xml:space="preserve">Claude CLI</t>
  </si>
  <si>
    <t xml:space="preserve">claude --version</t>
  </si>
  <si>
    <t xml:space="preserve">npm install -g @anthropic-ai/claude-cli</t>
  </si>
  <si>
    <t xml:space="preserve">ANTHROPIC_API_KEY</t>
  </si>
  <si>
    <t xml:space="preserve">echo $ANTHROPIC_API_KEY</t>
  </si>
  <si>
    <t xml:space="preserve">Add to ~/.zshrc or ~/.bashrc</t>
  </si>
  <si>
    <t xml:space="preserve">STEP 1: CREATE DIRECTORIES</t>
  </si>
  <si>
    <t xml:space="preserve">Command</t>
  </si>
  <si>
    <t xml:space="preserve">mkdir -p ~/MASTER_RULES/{hooks,config,logs}</t>
  </si>
  <si>
    <t xml:space="preserve">Create folder structure</t>
  </si>
  <si>
    <t xml:space="preserve">mkdir -p ~/.claude</t>
  </si>
  <si>
    <t xml:space="preserve">Create Claude config folder</t>
  </si>
  <si>
    <t xml:space="preserve">STEP 2: INSTALL DEPENDENCIES</t>
  </si>
  <si>
    <t xml:space="preserve">pip install anthropic rich</t>
  </si>
  <si>
    <t xml:space="preserve">Install Python packages</t>
  </si>
  <si>
    <t xml:space="preserve">STEP 3: COPY FILES FROM BUILD_SPEC.MD</t>
  </si>
  <si>
    <t xml:space="preserve">File</t>
  </si>
  <si>
    <t xml:space="preserve">Copy To</t>
  </si>
  <si>
    <t xml:space="preserve">RULES.md content</t>
  </si>
  <si>
    <t xml:space="preserve">~/MASTER_RULES/RULES.md</t>
  </si>
  <si>
    <t xml:space="preserve">ZONES.md content</t>
  </si>
  <si>
    <t xml:space="preserve">~/MASTER_RULES/ZONES.md</t>
  </si>
  <si>
    <t xml:space="preserve">domains.json content</t>
  </si>
  <si>
    <t xml:space="preserve">frameworks.json content</t>
  </si>
  <si>
    <t xml:space="preserve">goals.json content</t>
  </si>
  <si>
    <t xml:space="preserve">refiner.py content</t>
  </si>
  <si>
    <t xml:space="preserve">scorer.py content</t>
  </si>
  <si>
    <t xml:space="preserve">settings.json content</t>
  </si>
  <si>
    <t xml:space="preserve">CLAUDE.md content</t>
  </si>
  <si>
    <t xml:space="preserve">STEP 4: MAKE EXECUTABLE</t>
  </si>
  <si>
    <t xml:space="preserve">chmod +x ~/MASTER_RULES/hooks/*.py</t>
  </si>
  <si>
    <t xml:space="preserve">Make hooks executable</t>
  </si>
  <si>
    <t xml:space="preserve">STEP 5: SET API KEY</t>
  </si>
  <si>
    <t xml:space="preserve">echo 'export ANTHROPIC_API_KEY="sk-..."' &gt;&gt; ~/.zshrc</t>
  </si>
  <si>
    <t xml:space="preserve">Add to shell config</t>
  </si>
  <si>
    <t xml:space="preserve">source ~/.zshrc</t>
  </si>
  <si>
    <t xml:space="preserve">Reload shell</t>
  </si>
  <si>
    <t xml:space="preserve">STEP 6: VERIFY INSTALLATION</t>
  </si>
  <si>
    <t xml:space="preserve">Expected Output</t>
  </si>
  <si>
    <t xml:space="preserve">cat ~/.claude/settings.json | head -5</t>
  </si>
  <si>
    <t xml:space="preserve">Should show hooks config</t>
  </si>
  <si>
    <t xml:space="preserve">echo '{"prompt":"test"}' | python3 ~/MASTER_RULES/hooks/refiner.py</t>
  </si>
  <si>
    <t xml:space="preserve">Should output JSON</t>
  </si>
  <si>
    <t xml:space="preserve">claude 'hello'</t>
  </si>
  <si>
    <t xml:space="preserve">Should show refiner output + approval</t>
  </si>
  <si>
    <t xml:space="preserve">TROUBLESHOOTING</t>
  </si>
  <si>
    <t xml:space="preserve">Issue</t>
  </si>
  <si>
    <t xml:space="preserve">Solution</t>
  </si>
  <si>
    <t xml:space="preserve">'anthropic' not found</t>
  </si>
  <si>
    <t xml:space="preserve">pip install anthropic</t>
  </si>
  <si>
    <t xml:space="preserve">Hook not firing</t>
  </si>
  <si>
    <t xml:space="preserve">Check ~/.claude/settings.json syntax</t>
  </si>
  <si>
    <t xml:space="preserve">API error</t>
  </si>
  <si>
    <t xml:space="preserve">Verify ANTHROPIC_API_KEY is set</t>
  </si>
  <si>
    <t xml:space="preserve">Permission denied</t>
  </si>
  <si>
    <t xml:space="preserve">No output</t>
  </si>
  <si>
    <t xml:space="preserve">Check ~/MASTER_RULES/logs/prompts.jsonl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</si>
</sst>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90EE9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0EE90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5"/>
    <col collapsed="false" customWidth="true" hidden="false" outlineLevel="0" max="3" min="3" style="1" width="25"/>
    <col collapsed="false" customWidth="true" hidden="false" outlineLevel="0" max="4" min="4" style="1" width="30"/>
    <col collapsed="false" customWidth="true" hidden="false" outlineLevel="0" max="5" min="5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</row>
    <row r="4" customFormat="false" ht="15" hidden="false" customHeight="true" outlineLevel="0" collapsed="false">
      <c r="A4" s="3"/>
      <c r="B4" s="3"/>
      <c r="C4" s="3"/>
      <c r="D4" s="3"/>
      <c r="E4" s="3"/>
    </row>
    <row r="5" customFormat="false" ht="15" hidden="false" customHeight="true" outlineLevel="0" collapsed="false">
      <c r="A5" s="5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true" outlineLevel="0" collapsed="false">
      <c r="A6" s="3" t="s">
        <v>8</v>
      </c>
      <c r="B6" s="3" t="s">
        <v>9</v>
      </c>
      <c r="C6" s="3" t="s">
        <v>10</v>
      </c>
      <c r="D6" s="6" t="s">
        <v>11</v>
      </c>
      <c r="E6" s="3" t="s">
        <v>12</v>
      </c>
    </row>
    <row r="7" customFormat="false" ht="15" hidden="false" customHeight="true" outlineLevel="0" collapsed="false">
      <c r="A7" s="3" t="s">
        <v>13</v>
      </c>
      <c r="B7" s="3" t="s">
        <v>14</v>
      </c>
      <c r="C7" s="3" t="s">
        <v>15</v>
      </c>
      <c r="D7" s="7" t="s">
        <v>16</v>
      </c>
      <c r="E7" s="3" t="s">
        <v>17</v>
      </c>
    </row>
    <row r="8" customFormat="false" ht="15" hidden="false" customHeight="true" outlineLevel="0" collapsed="false">
      <c r="A8" s="3" t="s">
        <v>18</v>
      </c>
      <c r="B8" s="3" t="s">
        <v>19</v>
      </c>
      <c r="C8" s="3" t="s">
        <v>20</v>
      </c>
      <c r="D8" s="7" t="s">
        <v>16</v>
      </c>
      <c r="E8" s="3" t="s">
        <v>17</v>
      </c>
    </row>
    <row r="9" customFormat="false" ht="15" hidden="false" customHeight="true" outlineLevel="0" collapsed="false">
      <c r="A9" s="3" t="s">
        <v>21</v>
      </c>
      <c r="B9" s="3" t="s">
        <v>22</v>
      </c>
      <c r="C9" s="3" t="s">
        <v>23</v>
      </c>
      <c r="D9" s="7" t="s">
        <v>16</v>
      </c>
      <c r="E9" s="3" t="s">
        <v>24</v>
      </c>
    </row>
    <row r="10" customFormat="false" ht="15" hidden="false" customHeight="true" outlineLevel="0" collapsed="false">
      <c r="A10" s="3" t="s">
        <v>25</v>
      </c>
      <c r="B10" s="3" t="s">
        <v>26</v>
      </c>
      <c r="C10" s="3" t="s">
        <v>27</v>
      </c>
      <c r="D10" s="7" t="s">
        <v>16</v>
      </c>
      <c r="E10" s="3" t="s">
        <v>17</v>
      </c>
    </row>
    <row r="11" customFormat="false" ht="15" hidden="false" customHeight="true" outlineLevel="0" collapsed="false">
      <c r="A11" s="3"/>
      <c r="B11" s="3"/>
      <c r="C11" s="3"/>
      <c r="D11" s="3"/>
      <c r="E11" s="3"/>
    </row>
    <row r="12" customFormat="false" ht="15" hidden="false" customHeight="true" outlineLevel="0" collapsed="false">
      <c r="A12" s="5" t="s">
        <v>28</v>
      </c>
      <c r="B12" s="3" t="s">
        <v>29</v>
      </c>
      <c r="C12" s="3" t="s">
        <v>30</v>
      </c>
      <c r="D12" s="3" t="s">
        <v>31</v>
      </c>
      <c r="E12" s="3"/>
    </row>
    <row r="13" customFormat="false" ht="15" hidden="false" customHeight="true" outlineLevel="0" collapsed="false">
      <c r="A13" s="6" t="s">
        <v>11</v>
      </c>
      <c r="B13" s="3" t="s">
        <v>32</v>
      </c>
      <c r="C13" s="3" t="s">
        <v>33</v>
      </c>
      <c r="D13" s="3" t="s">
        <v>34</v>
      </c>
      <c r="E13" s="3"/>
    </row>
    <row r="14" customFormat="false" ht="15" hidden="false" customHeight="true" outlineLevel="0" collapsed="false">
      <c r="A14" s="8" t="s">
        <v>35</v>
      </c>
      <c r="B14" s="3" t="s">
        <v>36</v>
      </c>
      <c r="C14" s="3" t="s">
        <v>37</v>
      </c>
      <c r="D14" s="3" t="s">
        <v>38</v>
      </c>
      <c r="E14" s="3"/>
    </row>
    <row r="15" customFormat="false" ht="15" hidden="false" customHeight="true" outlineLevel="0" collapsed="false">
      <c r="A15" s="7" t="s">
        <v>16</v>
      </c>
      <c r="B15" s="3" t="s">
        <v>39</v>
      </c>
      <c r="C15" s="3" t="s">
        <v>40</v>
      </c>
      <c r="D15" s="3" t="s">
        <v>41</v>
      </c>
      <c r="E15" s="3"/>
    </row>
    <row r="16" customFormat="false" ht="15" hidden="false" customHeight="true" outlineLevel="0" collapsed="false">
      <c r="A16" s="3"/>
      <c r="B16" s="3"/>
      <c r="C16" s="3"/>
      <c r="D16" s="3"/>
      <c r="E16" s="3"/>
    </row>
    <row r="17" customFormat="false" ht="15" hidden="false" customHeight="true" outlineLevel="0" collapsed="false">
      <c r="A17" s="5" t="s">
        <v>42</v>
      </c>
      <c r="B17" s="3" t="s">
        <v>43</v>
      </c>
      <c r="C17" s="3" t="s">
        <v>44</v>
      </c>
      <c r="D17" s="3"/>
      <c r="E17" s="3"/>
    </row>
    <row r="18" customFormat="false" ht="15" hidden="false" customHeight="true" outlineLevel="0" collapsed="false">
      <c r="A18" s="3" t="s">
        <v>45</v>
      </c>
      <c r="B18" s="3" t="s">
        <v>46</v>
      </c>
      <c r="C18" s="3" t="s">
        <v>47</v>
      </c>
      <c r="D18" s="3"/>
      <c r="E18" s="3"/>
    </row>
    <row r="19" customFormat="false" ht="15" hidden="false" customHeight="true" outlineLevel="0" collapsed="false">
      <c r="A19" s="3" t="s">
        <v>48</v>
      </c>
      <c r="B19" s="3" t="s">
        <v>49</v>
      </c>
      <c r="C19" s="3" t="s">
        <v>50</v>
      </c>
      <c r="D19" s="3"/>
      <c r="E19" s="3"/>
    </row>
    <row r="20" customFormat="false" ht="15" hidden="false" customHeight="true" outlineLevel="0" collapsed="false">
      <c r="A20" s="3" t="s">
        <v>51</v>
      </c>
      <c r="B20" s="3" t="s">
        <v>52</v>
      </c>
      <c r="C20" s="3" t="s">
        <v>53</v>
      </c>
      <c r="D20" s="3"/>
      <c r="E20" s="3"/>
    </row>
    <row r="21" customFormat="false" ht="15" hidden="false" customHeight="true" outlineLevel="0" collapsed="false">
      <c r="A21" s="3" t="s">
        <v>54</v>
      </c>
      <c r="B21" s="3" t="s">
        <v>55</v>
      </c>
      <c r="C21" s="3" t="s">
        <v>56</v>
      </c>
      <c r="D21" s="3"/>
      <c r="E21" s="3"/>
    </row>
    <row r="22" customFormat="false" ht="15" hidden="false" customHeight="true" outlineLevel="0" collapsed="false">
      <c r="A22" s="3" t="s">
        <v>57</v>
      </c>
      <c r="B22" s="3" t="s">
        <v>58</v>
      </c>
      <c r="C22" s="3" t="s">
        <v>59</v>
      </c>
      <c r="D22" s="3"/>
      <c r="E22" s="3"/>
    </row>
    <row r="23" customFormat="false" ht="15" hidden="false" customHeight="true" outlineLevel="0" collapsed="false">
      <c r="A23" s="3" t="s">
        <v>60</v>
      </c>
      <c r="B23" s="3" t="s">
        <v>61</v>
      </c>
      <c r="C23" s="3" t="s">
        <v>62</v>
      </c>
      <c r="D23" s="3"/>
      <c r="E23" s="3"/>
    </row>
    <row r="24" customFormat="false" ht="15" hidden="false" customHeight="true" outlineLevel="0" collapsed="false">
      <c r="A24" s="3"/>
      <c r="B24" s="3"/>
      <c r="C24" s="3"/>
      <c r="D24" s="3"/>
      <c r="E24" s="3"/>
    </row>
    <row r="25" customFormat="false" ht="15" hidden="false" customHeight="true" outlineLevel="0" collapsed="false">
      <c r="A25" s="5" t="s">
        <v>63</v>
      </c>
      <c r="B25" s="3"/>
      <c r="C25" s="3"/>
      <c r="D25" s="3"/>
      <c r="E25" s="3"/>
    </row>
    <row r="26" customFormat="false" ht="15" hidden="false" customHeight="true" outlineLevel="0" collapsed="false">
      <c r="A26" s="3" t="s">
        <v>64</v>
      </c>
      <c r="B26" s="3" t="s">
        <v>65</v>
      </c>
      <c r="C26" s="3" t="s">
        <v>66</v>
      </c>
      <c r="D26" s="3"/>
      <c r="E26" s="3"/>
    </row>
    <row r="27" customFormat="false" ht="15" hidden="false" customHeight="true" outlineLevel="0" collapsed="false">
      <c r="A27" s="3" t="s">
        <v>67</v>
      </c>
      <c r="B27" s="3" t="s">
        <v>65</v>
      </c>
      <c r="C27" s="3" t="s">
        <v>68</v>
      </c>
      <c r="D27" s="3"/>
      <c r="E27" s="3"/>
    </row>
    <row r="28" customFormat="false" ht="15" hidden="false" customHeight="true" outlineLevel="0" collapsed="false">
      <c r="A28" s="3" t="s">
        <v>69</v>
      </c>
      <c r="B28" s="3" t="s">
        <v>70</v>
      </c>
      <c r="C28" s="3" t="s">
        <v>71</v>
      </c>
      <c r="D28" s="3"/>
      <c r="E28" s="3"/>
    </row>
    <row r="29" customFormat="false" ht="15" hidden="false" customHeight="true" outlineLevel="0" collapsed="false">
      <c r="A29" s="3"/>
      <c r="B29" s="3"/>
      <c r="C29" s="3"/>
      <c r="D29" s="3"/>
      <c r="E29" s="3"/>
    </row>
    <row r="30" customFormat="false" ht="15" hidden="false" customHeight="true" outlineLevel="0" collapsed="false">
      <c r="A30" s="5" t="s">
        <v>72</v>
      </c>
      <c r="B30" s="3" t="s">
        <v>73</v>
      </c>
      <c r="C30" s="3" t="s">
        <v>74</v>
      </c>
      <c r="D30" s="3"/>
      <c r="E30" s="3"/>
    </row>
    <row r="31" customFormat="false" ht="15" hidden="false" customHeight="true" outlineLevel="0" collapsed="false">
      <c r="A31" s="3" t="s">
        <v>75</v>
      </c>
      <c r="B31" s="3" t="s">
        <v>76</v>
      </c>
      <c r="C31" s="3" t="s">
        <v>77</v>
      </c>
      <c r="D31" s="3"/>
      <c r="E31" s="3"/>
    </row>
    <row r="32" customFormat="false" ht="15" hidden="false" customHeight="true" outlineLevel="0" collapsed="false">
      <c r="A32" s="3" t="s">
        <v>78</v>
      </c>
      <c r="B32" s="3" t="s">
        <v>79</v>
      </c>
      <c r="C32" s="3" t="s">
        <v>80</v>
      </c>
      <c r="D32" s="3"/>
      <c r="E32" s="3"/>
    </row>
    <row r="33" customFormat="false" ht="15" hidden="false" customHeight="true" outlineLevel="0" collapsed="false">
      <c r="A33" s="3" t="s">
        <v>81</v>
      </c>
      <c r="B33" s="3" t="s">
        <v>82</v>
      </c>
      <c r="C33" s="3" t="s">
        <v>83</v>
      </c>
      <c r="D33" s="3"/>
      <c r="E33" s="3"/>
    </row>
    <row r="34" customFormat="false" ht="15" hidden="false" customHeight="true" outlineLevel="0" collapsed="false">
      <c r="A34" s="3" t="s">
        <v>84</v>
      </c>
      <c r="B34" s="3" t="s">
        <v>85</v>
      </c>
      <c r="C34" s="3" t="s">
        <v>86</v>
      </c>
      <c r="D34" s="3"/>
      <c r="E34" s="3"/>
    </row>
  </sheetData>
  <mergeCells count="2">
    <mergeCell ref="A1:E1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25"/>
  </cols>
  <sheetData>
    <row r="1" customFormat="false" ht="17.25" hidden="false" customHeight="true" outlineLevel="0" collapsed="false">
      <c r="A1" s="9" t="s">
        <v>87</v>
      </c>
      <c r="B1" s="9"/>
      <c r="C1" s="9"/>
      <c r="D1" s="9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5" t="s">
        <v>88</v>
      </c>
      <c r="B3" s="3"/>
      <c r="C3" s="3"/>
      <c r="D3" s="3"/>
    </row>
    <row r="4" customFormat="false" ht="15" hidden="false" customHeight="true" outlineLevel="0" collapsed="false">
      <c r="A4" s="3" t="s">
        <v>89</v>
      </c>
      <c r="B4" s="3" t="s">
        <v>18</v>
      </c>
      <c r="C4" s="3" t="s">
        <v>90</v>
      </c>
      <c r="D4" s="3"/>
    </row>
    <row r="5" customFormat="false" ht="15" hidden="false" customHeight="true" outlineLevel="0" collapsed="false">
      <c r="A5" s="3" t="s">
        <v>91</v>
      </c>
      <c r="B5" s="3" t="s">
        <v>92</v>
      </c>
      <c r="C5" s="3" t="s">
        <v>93</v>
      </c>
      <c r="D5" s="3"/>
    </row>
    <row r="6" customFormat="false" ht="15" hidden="false" customHeight="true" outlineLevel="0" collapsed="false">
      <c r="A6" s="3"/>
      <c r="B6" s="3"/>
      <c r="C6" s="3"/>
      <c r="D6" s="3"/>
    </row>
    <row r="7" customFormat="false" ht="15" hidden="false" customHeight="true" outlineLevel="0" collapsed="false">
      <c r="A7" s="5" t="s">
        <v>94</v>
      </c>
      <c r="B7" s="3"/>
      <c r="C7" s="3"/>
      <c r="D7" s="3"/>
    </row>
    <row r="8" customFormat="false" ht="15" hidden="false" customHeight="true" outlineLevel="0" collapsed="false">
      <c r="A8" s="3" t="s">
        <v>95</v>
      </c>
      <c r="B8" s="3" t="s">
        <v>17</v>
      </c>
      <c r="C8" s="3" t="s">
        <v>96</v>
      </c>
      <c r="D8" s="3"/>
    </row>
    <row r="9" customFormat="false" ht="15" hidden="false" customHeight="true" outlineLevel="0" collapsed="false">
      <c r="A9" s="3" t="s">
        <v>97</v>
      </c>
      <c r="B9" s="3" t="str">
        <f aca="false">IF(B8="G1","Bankruptcy",IF(B8="G2","Federal Charges",IF(B8="G3","Custody",IF(B8="G4","Family Harmony","$500K Revenue"))))</f>
        <v>$500K Revenue</v>
      </c>
      <c r="C9" s="3"/>
      <c r="D9" s="3"/>
    </row>
    <row r="10" customFormat="false" ht="15" hidden="false" customHeight="true" outlineLevel="0" collapsed="false">
      <c r="A10" s="3"/>
      <c r="B10" s="3"/>
      <c r="C10" s="3"/>
      <c r="D10" s="3"/>
    </row>
    <row r="11" customFormat="false" ht="15" hidden="false" customHeight="true" outlineLevel="0" collapsed="false">
      <c r="A11" s="5" t="s">
        <v>98</v>
      </c>
      <c r="B11" s="3"/>
      <c r="C11" s="3"/>
      <c r="D11" s="3"/>
    </row>
    <row r="12" customFormat="false" ht="15" hidden="false" customHeight="true" outlineLevel="0" collapsed="false">
      <c r="A12" s="3" t="s">
        <v>99</v>
      </c>
      <c r="B12" s="3" t="s">
        <v>20</v>
      </c>
      <c r="C12" s="3" t="s">
        <v>100</v>
      </c>
      <c r="D12" s="3"/>
    </row>
    <row r="13" customFormat="false" ht="15" hidden="false" customHeight="true" outlineLevel="0" collapsed="false">
      <c r="A13" s="3" t="s">
        <v>101</v>
      </c>
      <c r="B13" s="3" t="s">
        <v>16</v>
      </c>
      <c r="C13" s="3" t="s">
        <v>100</v>
      </c>
      <c r="D13" s="3"/>
    </row>
    <row r="14" customFormat="false" ht="15" hidden="false" customHeight="true" outlineLevel="0" collapsed="false">
      <c r="A14" s="3" t="s">
        <v>102</v>
      </c>
      <c r="B14" s="3" t="s">
        <v>103</v>
      </c>
      <c r="C14" s="3" t="s">
        <v>104</v>
      </c>
      <c r="D14" s="3"/>
    </row>
    <row r="15" customFormat="false" ht="15" hidden="false" customHeight="true" outlineLevel="0" collapsed="false">
      <c r="A15" s="3"/>
      <c r="B15" s="3"/>
      <c r="C15" s="3"/>
      <c r="D15" s="3"/>
    </row>
    <row r="16" customFormat="false" ht="15" hidden="false" customHeight="true" outlineLevel="0" collapsed="false">
      <c r="A16" s="5" t="s">
        <v>105</v>
      </c>
      <c r="B16" s="3"/>
      <c r="C16" s="3"/>
      <c r="D16" s="3"/>
    </row>
    <row r="17" customFormat="false" ht="15" hidden="false" customHeight="true" outlineLevel="0" collapsed="false">
      <c r="A17" s="3" t="s">
        <v>106</v>
      </c>
      <c r="B17" s="3" t="s">
        <v>107</v>
      </c>
      <c r="C17" s="3"/>
      <c r="D17" s="3"/>
    </row>
    <row r="18" customFormat="false" ht="15" hidden="false" customHeight="true" outlineLevel="0" collapsed="false">
      <c r="A18" s="3" t="s">
        <v>108</v>
      </c>
      <c r="B18" s="3" t="s">
        <v>109</v>
      </c>
      <c r="C18" s="3"/>
      <c r="D18" s="3"/>
    </row>
    <row r="19" customFormat="false" ht="15" hidden="false" customHeight="true" outlineLevel="0" collapsed="false">
      <c r="A19" s="3" t="s">
        <v>110</v>
      </c>
      <c r="B19" s="3" t="s">
        <v>111</v>
      </c>
      <c r="C19" s="3"/>
      <c r="D19" s="3"/>
    </row>
    <row r="20" customFormat="false" ht="15" hidden="false" customHeight="true" outlineLevel="0" collapsed="false">
      <c r="A20" s="3" t="s">
        <v>112</v>
      </c>
      <c r="B20" s="3" t="s">
        <v>113</v>
      </c>
      <c r="C20" s="3"/>
      <c r="D20" s="3"/>
    </row>
    <row r="21" customFormat="false" ht="15" hidden="false" customHeight="true" outlineLevel="0" collapsed="false">
      <c r="A21" s="3" t="s">
        <v>114</v>
      </c>
      <c r="B21" s="3" t="s">
        <v>115</v>
      </c>
      <c r="C21" s="3"/>
      <c r="D21" s="3"/>
    </row>
    <row r="22" customFormat="false" ht="15" hidden="false" customHeight="true" outlineLevel="0" collapsed="false">
      <c r="A22" s="3" t="s">
        <v>116</v>
      </c>
      <c r="B22" s="3" t="s">
        <v>117</v>
      </c>
      <c r="C22" s="3"/>
      <c r="D22" s="3"/>
    </row>
    <row r="23" customFormat="false" ht="15" hidden="false" customHeight="true" outlineLevel="0" collapsed="false">
      <c r="A23" s="3"/>
      <c r="B23" s="3"/>
      <c r="C23" s="3"/>
      <c r="D23" s="3"/>
    </row>
    <row r="24" customFormat="false" ht="15" hidden="false" customHeight="true" outlineLevel="0" collapsed="false">
      <c r="A24" s="5" t="s">
        <v>118</v>
      </c>
      <c r="B24" s="3"/>
      <c r="C24" s="3"/>
      <c r="D24" s="3"/>
    </row>
    <row r="25" customFormat="false" ht="15" hidden="false" customHeight="true" outlineLevel="0" collapsed="false">
      <c r="A25" s="3" t="s">
        <v>119</v>
      </c>
      <c r="B25" s="3" t="s">
        <v>120</v>
      </c>
      <c r="C25" s="3" t="s">
        <v>121</v>
      </c>
      <c r="D25" s="3" t="s">
        <v>122</v>
      </c>
    </row>
    <row r="26" customFormat="false" ht="15" hidden="false" customHeight="true" outlineLevel="0" collapsed="false">
      <c r="A26" s="3" t="s">
        <v>123</v>
      </c>
      <c r="B26" s="3" t="s">
        <v>124</v>
      </c>
      <c r="C26" s="3" t="s">
        <v>121</v>
      </c>
      <c r="D26" s="3" t="s">
        <v>122</v>
      </c>
    </row>
    <row r="27" customFormat="false" ht="15" hidden="false" customHeight="true" outlineLevel="0" collapsed="false">
      <c r="A27" s="3" t="s">
        <v>125</v>
      </c>
      <c r="B27" s="3" t="s">
        <v>126</v>
      </c>
      <c r="C27" s="3" t="s">
        <v>121</v>
      </c>
      <c r="D27" s="3" t="s">
        <v>127</v>
      </c>
    </row>
    <row r="28" customFormat="false" ht="15" hidden="false" customHeight="true" outlineLevel="0" collapsed="false">
      <c r="A28" s="3" t="s">
        <v>128</v>
      </c>
      <c r="B28" s="3" t="n">
        <f aca="false">COUNTIF(D24:D26,"NO")</f>
        <v>0</v>
      </c>
      <c r="C28" s="3"/>
      <c r="D28" s="3"/>
    </row>
    <row r="29" customFormat="false" ht="15" hidden="false" customHeight="true" outlineLevel="0" collapsed="false">
      <c r="A29" s="3"/>
      <c r="B29" s="3"/>
      <c r="C29" s="3"/>
      <c r="D29" s="3"/>
    </row>
    <row r="30" customFormat="false" ht="15" hidden="false" customHeight="true" outlineLevel="0" collapsed="false">
      <c r="A30" s="5" t="s">
        <v>129</v>
      </c>
      <c r="B30" s="3"/>
      <c r="C30" s="3"/>
      <c r="D30" s="3"/>
    </row>
    <row r="31" customFormat="false" ht="15" hidden="false" customHeight="true" outlineLevel="0" collapsed="false">
      <c r="A31" s="3" t="s">
        <v>130</v>
      </c>
      <c r="B31" s="3" t="s">
        <v>131</v>
      </c>
      <c r="C31" s="3" t="s">
        <v>132</v>
      </c>
      <c r="D31" s="3" t="s">
        <v>133</v>
      </c>
    </row>
    <row r="32" customFormat="false" ht="15" hidden="false" customHeight="true" outlineLevel="0" collapsed="false">
      <c r="A32" s="3" t="s">
        <v>134</v>
      </c>
      <c r="B32" s="3" t="s">
        <v>135</v>
      </c>
      <c r="C32" s="3" t="s">
        <v>132</v>
      </c>
      <c r="D32" s="3" t="s">
        <v>136</v>
      </c>
    </row>
    <row r="33" customFormat="false" ht="15" hidden="false" customHeight="true" outlineLevel="0" collapsed="false">
      <c r="A33" s="3"/>
      <c r="B33" s="3"/>
      <c r="C33" s="3"/>
      <c r="D33" s="3"/>
    </row>
    <row r="34" customFormat="false" ht="15" hidden="false" customHeight="true" outlineLevel="0" collapsed="false">
      <c r="A34" s="5" t="s">
        <v>137</v>
      </c>
      <c r="B34" s="3"/>
      <c r="C34" s="3"/>
      <c r="D34" s="3" t="n">
        <v>18</v>
      </c>
    </row>
    <row r="35" customFormat="false" ht="15" hidden="false" customHeight="true" outlineLevel="0" collapsed="false">
      <c r="A35" s="3" t="s">
        <v>138</v>
      </c>
      <c r="B35" s="3" t="s">
        <v>139</v>
      </c>
      <c r="C35" s="3" t="s">
        <v>140</v>
      </c>
      <c r="D35" s="3" t="n">
        <v>12</v>
      </c>
    </row>
    <row r="36" customFormat="false" ht="15" hidden="false" customHeight="true" outlineLevel="0" collapsed="false">
      <c r="A36" s="3" t="s">
        <v>141</v>
      </c>
      <c r="B36" s="3" t="s">
        <v>142</v>
      </c>
      <c r="C36" s="3" t="s">
        <v>143</v>
      </c>
      <c r="D36" s="3" t="n">
        <v>10</v>
      </c>
    </row>
    <row r="37" customFormat="false" ht="15" hidden="false" customHeight="true" outlineLevel="0" collapsed="false">
      <c r="A37" s="3" t="s">
        <v>144</v>
      </c>
      <c r="B37" s="3" t="s">
        <v>145</v>
      </c>
      <c r="C37" s="3" t="s">
        <v>146</v>
      </c>
      <c r="D37" s="3" t="n">
        <v>12</v>
      </c>
    </row>
    <row r="38" customFormat="false" ht="15" hidden="false" customHeight="true" outlineLevel="0" collapsed="false">
      <c r="A38" s="3" t="s">
        <v>147</v>
      </c>
      <c r="B38" s="3" t="s">
        <v>148</v>
      </c>
      <c r="C38" s="3" t="s">
        <v>149</v>
      </c>
      <c r="D38" s="3" t="n">
        <v>7</v>
      </c>
    </row>
    <row r="39" customFormat="false" ht="15" hidden="false" customHeight="true" outlineLevel="0" collapsed="false">
      <c r="A39" s="3" t="s">
        <v>150</v>
      </c>
      <c r="B39" s="3" t="s">
        <v>145</v>
      </c>
      <c r="C39" s="3" t="s">
        <v>146</v>
      </c>
      <c r="D39" s="3" t="n">
        <v>10</v>
      </c>
    </row>
    <row r="40" customFormat="false" ht="15" hidden="false" customHeight="true" outlineLevel="0" collapsed="false">
      <c r="A40" s="3" t="s">
        <v>151</v>
      </c>
      <c r="B40" s="3" t="s">
        <v>152</v>
      </c>
      <c r="C40" s="3" t="s">
        <v>149</v>
      </c>
      <c r="D40" s="3" t="n">
        <v>9</v>
      </c>
    </row>
    <row r="41" customFormat="false" ht="15" hidden="false" customHeight="true" outlineLevel="0" collapsed="false">
      <c r="A41" s="3" t="s">
        <v>153</v>
      </c>
      <c r="B41" s="3" t="s">
        <v>148</v>
      </c>
      <c r="C41" s="3" t="s">
        <v>149</v>
      </c>
      <c r="D41" s="3" t="n">
        <v>12</v>
      </c>
    </row>
    <row r="42" customFormat="false" ht="15" hidden="false" customHeight="true" outlineLevel="0" collapsed="false">
      <c r="A42" s="3" t="s">
        <v>154</v>
      </c>
      <c r="B42" s="3" t="s">
        <v>142</v>
      </c>
      <c r="C42" s="3" t="s">
        <v>149</v>
      </c>
      <c r="D42" s="3" t="n">
        <v>15</v>
      </c>
    </row>
    <row r="43" customFormat="false" ht="15" hidden="false" customHeight="true" outlineLevel="0" collapsed="false">
      <c r="A43" s="3" t="s">
        <v>155</v>
      </c>
      <c r="B43" s="3" t="s">
        <v>145</v>
      </c>
      <c r="C43" s="3" t="s">
        <v>146</v>
      </c>
      <c r="D43" s="3" t="n">
        <v>6</v>
      </c>
    </row>
    <row r="44" customFormat="false" ht="15" hidden="false" customHeight="true" outlineLevel="0" collapsed="false">
      <c r="A44" s="3" t="s">
        <v>156</v>
      </c>
      <c r="B44" s="3" t="s">
        <v>148</v>
      </c>
      <c r="C44" s="3" t="s">
        <v>146</v>
      </c>
      <c r="D44" s="3" t="n">
        <f aca="false">B42*C42</f>
        <v>9</v>
      </c>
    </row>
    <row r="45" customFormat="false" ht="15" hidden="false" customHeight="true" outlineLevel="0" collapsed="false">
      <c r="A45" s="3" t="s">
        <v>157</v>
      </c>
      <c r="B45" s="3" t="n">
        <v>111</v>
      </c>
      <c r="C45" s="3" t="s">
        <v>149</v>
      </c>
      <c r="D45" s="3" t="n">
        <f aca="false">B43*C43</f>
        <v>12</v>
      </c>
    </row>
    <row r="46" customFormat="false" ht="15" hidden="false" customHeight="true" outlineLevel="0" collapsed="false">
      <c r="A46" s="3"/>
      <c r="B46" s="3"/>
      <c r="C46" s="3"/>
      <c r="D46" s="3" t="s">
        <v>81</v>
      </c>
    </row>
    <row r="47" customFormat="false" ht="15" hidden="false" customHeight="true" outlineLevel="0" collapsed="false">
      <c r="A47" s="3" t="s">
        <v>158</v>
      </c>
      <c r="B47" s="3" t="n">
        <f aca="false">SUM(D34:D43)</f>
        <v>111</v>
      </c>
      <c r="C47" s="3" t="s">
        <v>159</v>
      </c>
      <c r="D47" s="3"/>
    </row>
    <row r="48" customFormat="false" ht="15" hidden="false" customHeight="true" outlineLevel="0" collapsed="false">
      <c r="A48" s="3" t="s">
        <v>160</v>
      </c>
      <c r="B48" s="3" t="str">
        <f aca="false">IF(D45&lt;65,"REJECT",IF(D45&lt;95,"REFINE",IF(D45&lt;115,"EXECUTE","SHIP")))</f>
        <v>REJECT</v>
      </c>
      <c r="C48" s="3"/>
      <c r="D48" s="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4" min="3" style="1" width="18"/>
    <col collapsed="false" customWidth="true" hidden="false" outlineLevel="0" max="7" min="5" style="1" width="15"/>
  </cols>
  <sheetData>
    <row r="1" customFormat="false" ht="17.25" hidden="false" customHeight="true" outlineLevel="0" collapsed="false">
      <c r="A1" s="9" t="s">
        <v>161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27.75" hidden="false" customHeight="true" outlineLevel="0" collapsed="false">
      <c r="A3" s="10" t="s">
        <v>162</v>
      </c>
      <c r="B3" s="10" t="s">
        <v>163</v>
      </c>
      <c r="C3" s="10" t="s">
        <v>164</v>
      </c>
      <c r="D3" s="10" t="s">
        <v>165</v>
      </c>
      <c r="E3" s="10" t="s">
        <v>166</v>
      </c>
      <c r="F3" s="10" t="s">
        <v>167</v>
      </c>
      <c r="G3" s="10" t="s">
        <v>168</v>
      </c>
    </row>
    <row r="4" customFormat="false" ht="15" hidden="false" customHeight="true" outlineLevel="0" collapsed="false">
      <c r="A4" s="3" t="s">
        <v>169</v>
      </c>
      <c r="B4" s="7" t="s">
        <v>122</v>
      </c>
      <c r="C4" s="6" t="s">
        <v>127</v>
      </c>
      <c r="D4" s="6" t="s">
        <v>127</v>
      </c>
      <c r="E4" s="6" t="s">
        <v>127</v>
      </c>
      <c r="F4" s="6" t="s">
        <v>127</v>
      </c>
      <c r="G4" s="6" t="s">
        <v>127</v>
      </c>
    </row>
    <row r="5" customFormat="false" ht="15" hidden="false" customHeight="true" outlineLevel="0" collapsed="false">
      <c r="A5" s="3" t="s">
        <v>170</v>
      </c>
      <c r="B5" s="7" t="s">
        <v>122</v>
      </c>
      <c r="C5" s="6" t="s">
        <v>127</v>
      </c>
      <c r="D5" s="6" t="s">
        <v>127</v>
      </c>
      <c r="E5" s="6" t="s">
        <v>127</v>
      </c>
      <c r="F5" s="6" t="s">
        <v>127</v>
      </c>
      <c r="G5" s="6" t="s">
        <v>127</v>
      </c>
    </row>
    <row r="6" customFormat="false" ht="15" hidden="false" customHeight="true" outlineLevel="0" collapsed="false">
      <c r="A6" s="3" t="s">
        <v>171</v>
      </c>
      <c r="B6" s="7" t="s">
        <v>122</v>
      </c>
      <c r="C6" s="6" t="s">
        <v>127</v>
      </c>
      <c r="D6" s="6" t="s">
        <v>127</v>
      </c>
      <c r="E6" s="6" t="s">
        <v>127</v>
      </c>
      <c r="F6" s="6" t="s">
        <v>127</v>
      </c>
      <c r="G6" s="6" t="s">
        <v>127</v>
      </c>
    </row>
    <row r="7" customFormat="false" ht="15" hidden="false" customHeight="true" outlineLevel="0" collapsed="false">
      <c r="A7" s="3" t="s">
        <v>172</v>
      </c>
      <c r="B7" s="7" t="s">
        <v>122</v>
      </c>
      <c r="C7" s="6" t="s">
        <v>127</v>
      </c>
      <c r="D7" s="3" t="s">
        <v>173</v>
      </c>
      <c r="E7" s="6" t="s">
        <v>127</v>
      </c>
      <c r="F7" s="6" t="s">
        <v>127</v>
      </c>
      <c r="G7" s="6" t="s">
        <v>127</v>
      </c>
    </row>
    <row r="8" customFormat="false" ht="15" hidden="false" customHeight="true" outlineLevel="0" collapsed="false">
      <c r="A8" s="3" t="s">
        <v>174</v>
      </c>
      <c r="B8" s="7" t="s">
        <v>122</v>
      </c>
      <c r="C8" s="6" t="s">
        <v>127</v>
      </c>
      <c r="D8" s="6" t="s">
        <v>127</v>
      </c>
      <c r="E8" s="6" t="s">
        <v>127</v>
      </c>
      <c r="F8" s="6" t="s">
        <v>127</v>
      </c>
      <c r="G8" s="6" t="s">
        <v>127</v>
      </c>
    </row>
    <row r="9" customFormat="false" ht="15" hidden="false" customHeight="true" outlineLevel="0" collapsed="false">
      <c r="A9" s="3" t="s">
        <v>175</v>
      </c>
      <c r="B9" s="7" t="s">
        <v>122</v>
      </c>
      <c r="C9" s="6" t="s">
        <v>127</v>
      </c>
      <c r="D9" s="6" t="s">
        <v>127</v>
      </c>
      <c r="E9" s="6" t="s">
        <v>127</v>
      </c>
      <c r="F9" s="6" t="s">
        <v>127</v>
      </c>
      <c r="G9" s="6" t="s">
        <v>127</v>
      </c>
    </row>
    <row r="10" customFormat="false" ht="15" hidden="false" customHeight="true" outlineLevel="0" collapsed="false">
      <c r="A10" s="3" t="s">
        <v>176</v>
      </c>
      <c r="B10" s="7" t="s">
        <v>122</v>
      </c>
      <c r="C10" s="6" t="s">
        <v>127</v>
      </c>
      <c r="D10" s="6" t="s">
        <v>127</v>
      </c>
      <c r="E10" s="6" t="s">
        <v>127</v>
      </c>
      <c r="F10" s="6" t="s">
        <v>127</v>
      </c>
      <c r="G10" s="6" t="s">
        <v>127</v>
      </c>
    </row>
    <row r="11" customFormat="false" ht="15" hidden="false" customHeight="true" outlineLevel="0" collapsed="false">
      <c r="A11" s="3" t="s">
        <v>177</v>
      </c>
      <c r="B11" s="7" t="s">
        <v>122</v>
      </c>
      <c r="C11" s="6" t="s">
        <v>127</v>
      </c>
      <c r="D11" s="6" t="s">
        <v>127</v>
      </c>
      <c r="E11" s="6" t="s">
        <v>127</v>
      </c>
      <c r="F11" s="6" t="s">
        <v>127</v>
      </c>
      <c r="G11" s="6" t="s">
        <v>127</v>
      </c>
    </row>
    <row r="12" customFormat="false" ht="15" hidden="false" customHeight="true" outlineLevel="0" collapsed="false">
      <c r="A12" s="3" t="s">
        <v>178</v>
      </c>
      <c r="B12" s="7" t="s">
        <v>122</v>
      </c>
      <c r="C12" s="6" t="s">
        <v>127</v>
      </c>
      <c r="D12" s="6" t="s">
        <v>127</v>
      </c>
      <c r="E12" s="6" t="s">
        <v>127</v>
      </c>
      <c r="F12" s="6" t="s">
        <v>127</v>
      </c>
      <c r="G12" s="6" t="s">
        <v>127</v>
      </c>
    </row>
    <row r="13" customFormat="false" ht="15" hidden="false" customHeight="true" outlineLevel="0" collapsed="false">
      <c r="A13" s="3" t="s">
        <v>179</v>
      </c>
      <c r="B13" s="7" t="s">
        <v>122</v>
      </c>
      <c r="C13" s="6" t="s">
        <v>127</v>
      </c>
      <c r="D13" s="6" t="s">
        <v>127</v>
      </c>
      <c r="E13" s="6" t="s">
        <v>127</v>
      </c>
      <c r="F13" s="6" t="s">
        <v>127</v>
      </c>
      <c r="G13" s="6" t="s">
        <v>127</v>
      </c>
    </row>
    <row r="14" customFormat="false" ht="15" hidden="false" customHeight="true" outlineLevel="0" collapsed="false">
      <c r="A14" s="3" t="s">
        <v>180</v>
      </c>
      <c r="B14" s="7" t="s">
        <v>122</v>
      </c>
      <c r="C14" s="3" t="s">
        <v>181</v>
      </c>
      <c r="D14" s="3" t="s">
        <v>182</v>
      </c>
      <c r="E14" s="3" t="s">
        <v>181</v>
      </c>
      <c r="F14" s="3" t="s">
        <v>181</v>
      </c>
      <c r="G14" s="3" t="s">
        <v>181</v>
      </c>
    </row>
    <row r="15" customFormat="false" ht="15" hidden="false" customHeight="true" outlineLevel="0" collapsed="false">
      <c r="A15" s="3" t="s">
        <v>183</v>
      </c>
      <c r="B15" s="7" t="s">
        <v>122</v>
      </c>
      <c r="C15" s="6" t="s">
        <v>127</v>
      </c>
      <c r="D15" s="6" t="s">
        <v>127</v>
      </c>
      <c r="E15" s="6" t="s">
        <v>127</v>
      </c>
      <c r="F15" s="6" t="s">
        <v>127</v>
      </c>
      <c r="G15" s="6" t="s">
        <v>127</v>
      </c>
    </row>
    <row r="16" customFormat="false" ht="15" hidden="false" customHeight="true" outlineLevel="0" collapsed="false">
      <c r="A16" s="3" t="s">
        <v>184</v>
      </c>
      <c r="B16" s="7" t="s">
        <v>122</v>
      </c>
      <c r="C16" s="6" t="s">
        <v>127</v>
      </c>
      <c r="D16" s="6" t="s">
        <v>127</v>
      </c>
      <c r="E16" s="6" t="s">
        <v>127</v>
      </c>
      <c r="F16" s="7" t="s">
        <v>122</v>
      </c>
      <c r="G16" s="6" t="s">
        <v>127</v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true" outlineLevel="0" collapsed="false">
      <c r="A18" s="3" t="s">
        <v>185</v>
      </c>
      <c r="B18" s="3" t="s">
        <v>186</v>
      </c>
      <c r="C18" s="3" t="s">
        <v>187</v>
      </c>
      <c r="D18" s="3" t="s">
        <v>149</v>
      </c>
      <c r="E18" s="3" t="s">
        <v>187</v>
      </c>
      <c r="F18" s="3" t="s">
        <v>149</v>
      </c>
      <c r="G18" s="3" t="s">
        <v>187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true" outlineLevel="0" collapsed="false">
      <c r="A20" s="3" t="s">
        <v>188</v>
      </c>
      <c r="B20" s="3"/>
      <c r="C20" s="3"/>
      <c r="D20" s="3"/>
      <c r="E20" s="3"/>
      <c r="F20" s="3"/>
      <c r="G20" s="3"/>
    </row>
    <row r="21" customFormat="false" ht="15" hidden="false" customHeight="true" outlineLevel="0" collapsed="false">
      <c r="A21" s="3" t="s">
        <v>189</v>
      </c>
      <c r="B21" s="3"/>
      <c r="C21" s="3"/>
      <c r="D21" s="3"/>
      <c r="E21" s="3"/>
      <c r="F21" s="3"/>
      <c r="G21" s="3"/>
    </row>
    <row r="22" customFormat="false" ht="15" hidden="false" customHeight="true" outlineLevel="0" collapsed="false">
      <c r="A22" s="3" t="s">
        <v>190</v>
      </c>
      <c r="B22" s="3"/>
      <c r="C22" s="3"/>
      <c r="D22" s="3"/>
      <c r="E22" s="3"/>
      <c r="F22" s="3"/>
      <c r="G22" s="3"/>
    </row>
    <row r="23" customFormat="false" ht="15" hidden="false" customHeight="true" outlineLevel="0" collapsed="false">
      <c r="A23" s="3" t="s">
        <v>191</v>
      </c>
      <c r="B23" s="3"/>
      <c r="C23" s="3"/>
      <c r="D23" s="3"/>
      <c r="E23" s="3"/>
      <c r="F23" s="3"/>
      <c r="G23" s="3"/>
    </row>
    <row r="24" customFormat="false" ht="15" hidden="false" customHeight="true" outlineLevel="0" collapsed="false">
      <c r="A24" s="3" t="s">
        <v>192</v>
      </c>
      <c r="B24" s="3"/>
      <c r="C24" s="3"/>
      <c r="D24" s="3"/>
      <c r="E24" s="3"/>
      <c r="F24" s="3"/>
      <c r="G24" s="3"/>
    </row>
    <row r="25" customFormat="false" ht="15" hidden="false" customHeight="true" outlineLevel="0" collapsed="false">
      <c r="A25" s="3" t="s">
        <v>193</v>
      </c>
      <c r="B25" s="3"/>
      <c r="C25" s="3"/>
      <c r="D25" s="3"/>
      <c r="E25" s="3"/>
      <c r="F25" s="3"/>
      <c r="G25" s="3"/>
    </row>
    <row r="26" customFormat="false" ht="15" hidden="false" customHeight="true" outlineLevel="0" collapsed="false">
      <c r="A26" s="3" t="s">
        <v>194</v>
      </c>
      <c r="B26" s="3"/>
      <c r="C26" s="3"/>
      <c r="D26" s="3"/>
      <c r="E26" s="3"/>
      <c r="F26" s="3"/>
      <c r="G26" s="3"/>
    </row>
    <row r="27" customFormat="false" ht="15" hidden="false" customHeight="true" outlineLevel="0" collapsed="false">
      <c r="A27" s="3" t="s">
        <v>195</v>
      </c>
      <c r="B27" s="3"/>
      <c r="C27" s="3"/>
      <c r="D27" s="3"/>
      <c r="E27" s="3"/>
      <c r="F27" s="3"/>
      <c r="G27" s="3"/>
    </row>
    <row r="28" customFormat="false" ht="15" hidden="false" customHeight="true" outlineLevel="0" collapsed="false">
      <c r="A28" s="3" t="s">
        <v>196</v>
      </c>
      <c r="B28" s="3"/>
      <c r="C28" s="3"/>
      <c r="D28" s="3"/>
      <c r="E28" s="3"/>
      <c r="F28" s="3"/>
      <c r="G28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5" min="3" style="1" width="45"/>
    <col collapsed="false" customWidth="true" hidden="false" outlineLevel="0" max="6" min="6" style="1" width="30"/>
    <col collapsed="false" customWidth="true" hidden="false" outlineLevel="0" max="7" min="7" style="1" width="10"/>
  </cols>
  <sheetData>
    <row r="1" customFormat="false" ht="24.75" hidden="false" customHeight="true" outlineLevel="0" collapsed="false">
      <c r="A1" s="11" t="s">
        <v>197</v>
      </c>
      <c r="B1" s="11"/>
      <c r="C1" s="11"/>
      <c r="D1" s="11"/>
      <c r="E1" s="11"/>
      <c r="F1" s="11"/>
      <c r="G1" s="11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  <c r="G2" s="12"/>
    </row>
    <row r="3" customFormat="false" ht="15" hidden="false" customHeight="true" outlineLevel="0" collapsed="false">
      <c r="A3" s="10" t="s">
        <v>198</v>
      </c>
      <c r="B3" s="10" t="s">
        <v>199</v>
      </c>
      <c r="C3" s="10" t="s">
        <v>200</v>
      </c>
      <c r="D3" s="10" t="s">
        <v>201</v>
      </c>
      <c r="E3" s="10" t="s">
        <v>202</v>
      </c>
      <c r="F3" s="10" t="s">
        <v>203</v>
      </c>
      <c r="G3" s="10" t="s">
        <v>204</v>
      </c>
    </row>
    <row r="4" customFormat="false" ht="60" hidden="false" customHeight="true" outlineLevel="0" collapsed="false">
      <c r="A4" s="12" t="s">
        <v>8</v>
      </c>
      <c r="B4" s="12" t="s">
        <v>205</v>
      </c>
      <c r="C4" s="12" t="s">
        <v>206</v>
      </c>
      <c r="D4" s="12" t="s">
        <v>207</v>
      </c>
      <c r="E4" s="12" t="s">
        <v>208</v>
      </c>
      <c r="F4" s="12" t="s">
        <v>209</v>
      </c>
      <c r="G4" s="13" t="s">
        <v>11</v>
      </c>
    </row>
    <row r="5" customFormat="false" ht="60" hidden="false" customHeight="true" outlineLevel="0" collapsed="false">
      <c r="A5" s="12" t="s">
        <v>8</v>
      </c>
      <c r="B5" s="12" t="s">
        <v>210</v>
      </c>
      <c r="C5" s="12" t="s">
        <v>211</v>
      </c>
      <c r="D5" s="12" t="s">
        <v>212</v>
      </c>
      <c r="E5" s="12" t="s">
        <v>213</v>
      </c>
      <c r="F5" s="12" t="s">
        <v>214</v>
      </c>
      <c r="G5" s="13" t="s">
        <v>11</v>
      </c>
    </row>
    <row r="6" customFormat="false" ht="60" hidden="false" customHeight="true" outlineLevel="0" collapsed="false">
      <c r="A6" s="12" t="s">
        <v>8</v>
      </c>
      <c r="B6" s="12" t="s">
        <v>215</v>
      </c>
      <c r="C6" s="12" t="s">
        <v>216</v>
      </c>
      <c r="D6" s="12" t="s">
        <v>217</v>
      </c>
      <c r="E6" s="12" t="s">
        <v>218</v>
      </c>
      <c r="F6" s="12" t="s">
        <v>219</v>
      </c>
      <c r="G6" s="13" t="s">
        <v>11</v>
      </c>
    </row>
    <row r="7" customFormat="false" ht="60" hidden="false" customHeight="true" outlineLevel="0" collapsed="false">
      <c r="A7" s="12" t="s">
        <v>8</v>
      </c>
      <c r="B7" s="12" t="s">
        <v>220</v>
      </c>
      <c r="C7" s="12" t="s">
        <v>221</v>
      </c>
      <c r="D7" s="12" t="s">
        <v>222</v>
      </c>
      <c r="E7" s="12" t="s">
        <v>223</v>
      </c>
      <c r="F7" s="12" t="s">
        <v>224</v>
      </c>
      <c r="G7" s="13" t="s">
        <v>11</v>
      </c>
    </row>
    <row r="8" customFormat="false" ht="60" hidden="false" customHeight="true" outlineLevel="0" collapsed="false">
      <c r="A8" s="12" t="s">
        <v>13</v>
      </c>
      <c r="B8" s="12" t="s">
        <v>225</v>
      </c>
      <c r="C8" s="12" t="s">
        <v>226</v>
      </c>
      <c r="D8" s="12" t="s">
        <v>227</v>
      </c>
      <c r="E8" s="12" t="s">
        <v>228</v>
      </c>
      <c r="F8" s="12" t="s">
        <v>229</v>
      </c>
      <c r="G8" s="14" t="s">
        <v>16</v>
      </c>
    </row>
    <row r="9" customFormat="false" ht="60" hidden="false" customHeight="true" outlineLevel="0" collapsed="false">
      <c r="A9" s="12" t="s">
        <v>13</v>
      </c>
      <c r="B9" s="12" t="s">
        <v>230</v>
      </c>
      <c r="C9" s="12" t="s">
        <v>231</v>
      </c>
      <c r="D9" s="12" t="s">
        <v>232</v>
      </c>
      <c r="E9" s="12" t="s">
        <v>233</v>
      </c>
      <c r="F9" s="12" t="s">
        <v>234</v>
      </c>
      <c r="G9" s="14" t="s">
        <v>16</v>
      </c>
    </row>
    <row r="10" customFormat="false" ht="60" hidden="false" customHeight="true" outlineLevel="0" collapsed="false">
      <c r="A10" s="12" t="s">
        <v>13</v>
      </c>
      <c r="B10" s="12" t="s">
        <v>235</v>
      </c>
      <c r="C10" s="12" t="s">
        <v>236</v>
      </c>
      <c r="D10" s="12" t="s">
        <v>237</v>
      </c>
      <c r="E10" s="12" t="s">
        <v>238</v>
      </c>
      <c r="F10" s="12" t="s">
        <v>239</v>
      </c>
      <c r="G10" s="14" t="s">
        <v>16</v>
      </c>
    </row>
    <row r="11" customFormat="false" ht="60" hidden="false" customHeight="true" outlineLevel="0" collapsed="false">
      <c r="A11" s="12" t="s">
        <v>18</v>
      </c>
      <c r="B11" s="12" t="s">
        <v>240</v>
      </c>
      <c r="C11" s="12" t="s">
        <v>241</v>
      </c>
      <c r="D11" s="12" t="s">
        <v>242</v>
      </c>
      <c r="E11" s="12" t="s">
        <v>243</v>
      </c>
      <c r="F11" s="12" t="s">
        <v>244</v>
      </c>
      <c r="G11" s="14" t="s">
        <v>16</v>
      </c>
    </row>
    <row r="12" customFormat="false" ht="60" hidden="false" customHeight="true" outlineLevel="0" collapsed="false">
      <c r="A12" s="12" t="s">
        <v>18</v>
      </c>
      <c r="B12" s="12" t="s">
        <v>245</v>
      </c>
      <c r="C12" s="12" t="s">
        <v>246</v>
      </c>
      <c r="D12" s="12" t="s">
        <v>247</v>
      </c>
      <c r="E12" s="12" t="s">
        <v>248</v>
      </c>
      <c r="F12" s="12" t="s">
        <v>249</v>
      </c>
      <c r="G12" s="14" t="s">
        <v>16</v>
      </c>
    </row>
    <row r="13" customFormat="false" ht="60" hidden="false" customHeight="true" outlineLevel="0" collapsed="false">
      <c r="A13" s="12" t="s">
        <v>18</v>
      </c>
      <c r="B13" s="12" t="s">
        <v>250</v>
      </c>
      <c r="C13" s="12" t="s">
        <v>251</v>
      </c>
      <c r="D13" s="12" t="s">
        <v>252</v>
      </c>
      <c r="E13" s="12" t="s">
        <v>253</v>
      </c>
      <c r="F13" s="12" t="s">
        <v>254</v>
      </c>
      <c r="G13" s="15" t="s">
        <v>35</v>
      </c>
    </row>
    <row r="14" customFormat="false" ht="60" hidden="false" customHeight="true" outlineLevel="0" collapsed="false">
      <c r="A14" s="12" t="s">
        <v>21</v>
      </c>
      <c r="B14" s="12" t="s">
        <v>255</v>
      </c>
      <c r="C14" s="12" t="s">
        <v>256</v>
      </c>
      <c r="D14" s="12" t="s">
        <v>257</v>
      </c>
      <c r="E14" s="12" t="s">
        <v>258</v>
      </c>
      <c r="F14" s="12" t="s">
        <v>259</v>
      </c>
      <c r="G14" s="14" t="s">
        <v>16</v>
      </c>
    </row>
    <row r="15" customFormat="false" ht="60" hidden="false" customHeight="true" outlineLevel="0" collapsed="false">
      <c r="A15" s="12" t="s">
        <v>21</v>
      </c>
      <c r="B15" s="12" t="s">
        <v>260</v>
      </c>
      <c r="C15" s="12" t="s">
        <v>261</v>
      </c>
      <c r="D15" s="12" t="s">
        <v>262</v>
      </c>
      <c r="E15" s="12" t="s">
        <v>263</v>
      </c>
      <c r="F15" s="12" t="s">
        <v>264</v>
      </c>
      <c r="G15" s="14" t="s">
        <v>16</v>
      </c>
    </row>
    <row r="16" customFormat="false" ht="60" hidden="false" customHeight="true" outlineLevel="0" collapsed="false">
      <c r="A16" s="12" t="s">
        <v>25</v>
      </c>
      <c r="B16" s="12" t="s">
        <v>265</v>
      </c>
      <c r="C16" s="12" t="s">
        <v>266</v>
      </c>
      <c r="D16" s="12" t="s">
        <v>267</v>
      </c>
      <c r="E16" s="12" t="s">
        <v>268</v>
      </c>
      <c r="F16" s="12" t="s">
        <v>269</v>
      </c>
      <c r="G16" s="14" t="s">
        <v>16</v>
      </c>
    </row>
    <row r="17" customFormat="false" ht="60" hidden="false" customHeight="true" outlineLevel="0" collapsed="false">
      <c r="A17" s="12" t="s">
        <v>25</v>
      </c>
      <c r="B17" s="12" t="s">
        <v>270</v>
      </c>
      <c r="C17" s="12" t="s">
        <v>271</v>
      </c>
      <c r="D17" s="12" t="s">
        <v>272</v>
      </c>
      <c r="E17" s="12" t="s">
        <v>273</v>
      </c>
      <c r="F17" s="12" t="s">
        <v>274</v>
      </c>
      <c r="G17" s="14" t="s">
        <v>16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5"/>
    <col collapsed="false" customWidth="true" hidden="false" outlineLevel="0" max="5" min="4" style="1" width="15"/>
  </cols>
  <sheetData>
    <row r="1" customFormat="false" ht="17.25" hidden="false" customHeight="true" outlineLevel="0" collapsed="false">
      <c r="A1" s="9" t="s">
        <v>275</v>
      </c>
      <c r="B1" s="9"/>
      <c r="C1" s="9"/>
      <c r="D1" s="9"/>
      <c r="E1" s="9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10" t="s">
        <v>276</v>
      </c>
      <c r="B3" s="10" t="s">
        <v>138</v>
      </c>
      <c r="C3" s="10" t="s">
        <v>277</v>
      </c>
      <c r="D3" s="10" t="s">
        <v>140</v>
      </c>
      <c r="E3" s="10" t="s">
        <v>278</v>
      </c>
    </row>
    <row r="4" customFormat="false" ht="15" hidden="false" customHeight="true" outlineLevel="0" collapsed="false">
      <c r="A4" s="3" t="s">
        <v>149</v>
      </c>
      <c r="B4" s="3" t="s">
        <v>141</v>
      </c>
      <c r="C4" s="3" t="s">
        <v>279</v>
      </c>
      <c r="D4" s="3" t="s">
        <v>280</v>
      </c>
      <c r="E4" s="3" t="s">
        <v>281</v>
      </c>
    </row>
    <row r="5" customFormat="false" ht="15" hidden="false" customHeight="true" outlineLevel="0" collapsed="false">
      <c r="A5" s="3" t="s">
        <v>143</v>
      </c>
      <c r="B5" s="3" t="s">
        <v>144</v>
      </c>
      <c r="C5" s="3" t="s">
        <v>282</v>
      </c>
      <c r="D5" s="3" t="s">
        <v>146</v>
      </c>
      <c r="E5" s="3" t="s">
        <v>283</v>
      </c>
    </row>
    <row r="6" customFormat="false" ht="15" hidden="false" customHeight="true" outlineLevel="0" collapsed="false">
      <c r="A6" s="3" t="s">
        <v>284</v>
      </c>
      <c r="B6" s="3" t="s">
        <v>147</v>
      </c>
      <c r="C6" s="3" t="s">
        <v>285</v>
      </c>
      <c r="D6" s="3" t="s">
        <v>286</v>
      </c>
      <c r="E6" s="3" t="s">
        <v>148</v>
      </c>
    </row>
    <row r="7" customFormat="false" ht="15" hidden="false" customHeight="true" outlineLevel="0" collapsed="false">
      <c r="A7" s="3" t="s">
        <v>287</v>
      </c>
      <c r="B7" s="3" t="s">
        <v>150</v>
      </c>
      <c r="C7" s="3" t="s">
        <v>288</v>
      </c>
      <c r="D7" s="3" t="s">
        <v>146</v>
      </c>
      <c r="E7" s="3" t="s">
        <v>283</v>
      </c>
    </row>
    <row r="8" customFormat="false" ht="15" hidden="false" customHeight="true" outlineLevel="0" collapsed="false">
      <c r="A8" s="3" t="s">
        <v>289</v>
      </c>
      <c r="B8" s="3" t="s">
        <v>151</v>
      </c>
      <c r="C8" s="3" t="s">
        <v>290</v>
      </c>
      <c r="D8" s="3" t="s">
        <v>286</v>
      </c>
      <c r="E8" s="3" t="s">
        <v>148</v>
      </c>
    </row>
    <row r="9" customFormat="false" ht="15" hidden="false" customHeight="true" outlineLevel="0" collapsed="false">
      <c r="A9" s="3" t="s">
        <v>291</v>
      </c>
      <c r="B9" s="3" t="s">
        <v>153</v>
      </c>
      <c r="C9" s="3" t="s">
        <v>292</v>
      </c>
      <c r="D9" s="3" t="s">
        <v>286</v>
      </c>
      <c r="E9" s="3" t="s">
        <v>148</v>
      </c>
    </row>
    <row r="10" customFormat="false" ht="15" hidden="false" customHeight="true" outlineLevel="0" collapsed="false">
      <c r="A10" s="3" t="s">
        <v>152</v>
      </c>
      <c r="B10" s="3" t="s">
        <v>154</v>
      </c>
      <c r="C10" s="3" t="s">
        <v>293</v>
      </c>
      <c r="D10" s="3" t="s">
        <v>286</v>
      </c>
      <c r="E10" s="3" t="s">
        <v>148</v>
      </c>
    </row>
    <row r="11" customFormat="false" ht="15" hidden="false" customHeight="true" outlineLevel="0" collapsed="false">
      <c r="A11" s="3" t="s">
        <v>145</v>
      </c>
      <c r="B11" s="3" t="s">
        <v>155</v>
      </c>
      <c r="C11" s="3" t="s">
        <v>294</v>
      </c>
      <c r="D11" s="3" t="s">
        <v>146</v>
      </c>
      <c r="E11" s="3" t="s">
        <v>283</v>
      </c>
    </row>
    <row r="12" customFormat="false" ht="15" hidden="false" customHeight="true" outlineLevel="0" collapsed="false">
      <c r="A12" s="3" t="s">
        <v>142</v>
      </c>
      <c r="B12" s="3" t="s">
        <v>156</v>
      </c>
      <c r="C12" s="3" t="s">
        <v>295</v>
      </c>
      <c r="D12" s="3" t="s">
        <v>146</v>
      </c>
      <c r="E12" s="3" t="s">
        <v>283</v>
      </c>
    </row>
    <row r="13" customFormat="false" ht="15" hidden="false" customHeight="true" outlineLevel="0" collapsed="false">
      <c r="A13" s="3" t="s">
        <v>148</v>
      </c>
      <c r="B13" s="3" t="s">
        <v>157</v>
      </c>
      <c r="C13" s="3" t="s">
        <v>296</v>
      </c>
      <c r="D13" s="3" t="s">
        <v>286</v>
      </c>
      <c r="E13" s="3" t="s">
        <v>148</v>
      </c>
    </row>
    <row r="14" customFormat="false" ht="15" hidden="false" customHeight="true" outlineLevel="0" collapsed="false">
      <c r="A14" s="3"/>
      <c r="B14" s="3"/>
      <c r="C14" s="3"/>
      <c r="D14" s="3" t="s">
        <v>297</v>
      </c>
      <c r="E14" s="3" t="s">
        <v>298</v>
      </c>
    </row>
    <row r="15" customFormat="false" ht="15" hidden="false" customHeight="true" outlineLevel="0" collapsed="false">
      <c r="A15" s="3"/>
      <c r="B15" s="3"/>
      <c r="C15" s="3"/>
      <c r="D15" s="3"/>
      <c r="E15" s="3"/>
    </row>
    <row r="16" customFormat="false" ht="15" hidden="false" customHeight="true" outlineLevel="0" collapsed="false">
      <c r="A16" s="3" t="s">
        <v>72</v>
      </c>
      <c r="B16" s="3"/>
      <c r="C16" s="3"/>
      <c r="D16" s="3"/>
      <c r="E16" s="3"/>
    </row>
    <row r="17" customFormat="false" ht="15" hidden="false" customHeight="true" outlineLevel="0" collapsed="false">
      <c r="A17" s="10" t="s">
        <v>299</v>
      </c>
      <c r="B17" s="10" t="s">
        <v>300</v>
      </c>
      <c r="C17" s="10" t="s">
        <v>301</v>
      </c>
      <c r="D17" s="10" t="s">
        <v>302</v>
      </c>
      <c r="E17" s="10"/>
    </row>
    <row r="18" customFormat="false" ht="15" hidden="false" customHeight="true" outlineLevel="0" collapsed="false">
      <c r="A18" s="6" t="s">
        <v>75</v>
      </c>
      <c r="B18" s="3" t="s">
        <v>76</v>
      </c>
      <c r="C18" s="3" t="s">
        <v>303</v>
      </c>
      <c r="D18" s="3" t="s">
        <v>304</v>
      </c>
      <c r="E18" s="3"/>
    </row>
    <row r="19" customFormat="false" ht="15" hidden="false" customHeight="true" outlineLevel="0" collapsed="false">
      <c r="A19" s="8" t="s">
        <v>78</v>
      </c>
      <c r="B19" s="3" t="s">
        <v>305</v>
      </c>
      <c r="C19" s="3" t="s">
        <v>80</v>
      </c>
      <c r="D19" s="3" t="s">
        <v>306</v>
      </c>
      <c r="E19" s="3"/>
    </row>
    <row r="20" customFormat="false" ht="15" hidden="false" customHeight="true" outlineLevel="0" collapsed="false">
      <c r="A20" s="16" t="s">
        <v>81</v>
      </c>
      <c r="B20" s="3" t="s">
        <v>307</v>
      </c>
      <c r="C20" s="3" t="s">
        <v>308</v>
      </c>
      <c r="D20" s="3" t="s">
        <v>309</v>
      </c>
      <c r="E20" s="3"/>
    </row>
    <row r="21" customFormat="false" ht="15" hidden="false" customHeight="true" outlineLevel="0" collapsed="false">
      <c r="A21" s="7" t="s">
        <v>84</v>
      </c>
      <c r="B21" s="3" t="s">
        <v>310</v>
      </c>
      <c r="C21" s="3" t="s">
        <v>311</v>
      </c>
      <c r="D21" s="3" t="s">
        <v>312</v>
      </c>
      <c r="E21" s="3"/>
    </row>
    <row r="22" customFormat="false" ht="15" hidden="false" customHeight="true" outlineLevel="0" collapsed="false">
      <c r="A22" s="3"/>
      <c r="B22" s="3"/>
      <c r="C22" s="3"/>
      <c r="D22" s="3"/>
      <c r="E22" s="3"/>
    </row>
    <row r="23" customFormat="false" ht="15" hidden="false" customHeight="true" outlineLevel="0" collapsed="false">
      <c r="A23" s="3" t="s">
        <v>313</v>
      </c>
      <c r="B23" s="3"/>
      <c r="C23" s="3"/>
      <c r="D23" s="3"/>
      <c r="E23" s="3"/>
    </row>
    <row r="24" customFormat="false" ht="15" hidden="false" customHeight="true" outlineLevel="0" collapsed="false">
      <c r="A24" s="3" t="s">
        <v>314</v>
      </c>
      <c r="B24" s="3" t="s">
        <v>315</v>
      </c>
      <c r="C24" s="3"/>
      <c r="D24" s="3"/>
      <c r="E24" s="3"/>
    </row>
    <row r="25" customFormat="false" ht="15" hidden="false" customHeight="true" outlineLevel="0" collapsed="false">
      <c r="A25" s="3" t="s">
        <v>187</v>
      </c>
      <c r="B25" s="3" t="s">
        <v>316</v>
      </c>
      <c r="C25" s="3"/>
      <c r="D25" s="3"/>
      <c r="E25" s="3"/>
    </row>
    <row r="26" customFormat="false" ht="15" hidden="false" customHeight="true" outlineLevel="0" collapsed="false">
      <c r="A26" s="3" t="s">
        <v>317</v>
      </c>
      <c r="B26" s="3" t="s">
        <v>318</v>
      </c>
      <c r="C26" s="3"/>
      <c r="D26" s="3"/>
      <c r="E26" s="3"/>
    </row>
    <row r="27" customFormat="false" ht="15" hidden="false" customHeight="true" outlineLevel="0" collapsed="false">
      <c r="A27" s="3" t="s">
        <v>319</v>
      </c>
      <c r="B27" s="3" t="s">
        <v>320</v>
      </c>
      <c r="C27" s="3"/>
      <c r="D27" s="3"/>
      <c r="E27" s="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50"/>
    <col collapsed="false" customWidth="true" hidden="false" outlineLevel="0" max="5" min="4" style="1" width="12"/>
    <col collapsed="false" customWidth="true" hidden="false" outlineLevel="0" max="6" min="6" style="1" width="15"/>
  </cols>
  <sheetData>
    <row r="1" customFormat="false" ht="17.25" hidden="false" customHeight="true" outlineLevel="0" collapsed="false">
      <c r="A1" s="11" t="s">
        <v>321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</row>
    <row r="3" customFormat="false" ht="15" hidden="false" customHeight="true" outlineLevel="0" collapsed="false">
      <c r="A3" s="10" t="s">
        <v>322</v>
      </c>
      <c r="B3" s="10" t="s">
        <v>323</v>
      </c>
      <c r="C3" s="10" t="s">
        <v>324</v>
      </c>
      <c r="D3" s="10" t="s">
        <v>325</v>
      </c>
      <c r="E3" s="10" t="s">
        <v>326</v>
      </c>
      <c r="F3" s="10" t="s">
        <v>327</v>
      </c>
    </row>
    <row r="4" customFormat="false" ht="15" hidden="false" customHeight="true" outlineLevel="0" collapsed="false">
      <c r="A4" s="12" t="s">
        <v>10</v>
      </c>
      <c r="B4" s="12" t="s">
        <v>328</v>
      </c>
      <c r="C4" s="12" t="s">
        <v>329</v>
      </c>
      <c r="D4" s="12" t="s">
        <v>330</v>
      </c>
      <c r="E4" s="12" t="s">
        <v>331</v>
      </c>
      <c r="F4" s="12" t="s">
        <v>332</v>
      </c>
    </row>
    <row r="5" customFormat="false" ht="15" hidden="false" customHeight="true" outlineLevel="0" collapsed="false">
      <c r="A5" s="12" t="s">
        <v>27</v>
      </c>
      <c r="B5" s="12" t="s">
        <v>333</v>
      </c>
      <c r="C5" s="12" t="s">
        <v>334</v>
      </c>
      <c r="D5" s="12" t="s">
        <v>335</v>
      </c>
      <c r="E5" s="12" t="s">
        <v>331</v>
      </c>
      <c r="F5" s="12" t="s">
        <v>336</v>
      </c>
    </row>
    <row r="6" customFormat="false" ht="15" hidden="false" customHeight="true" outlineLevel="0" collapsed="false">
      <c r="A6" s="12" t="s">
        <v>337</v>
      </c>
      <c r="B6" s="12" t="s">
        <v>338</v>
      </c>
      <c r="C6" s="12" t="s">
        <v>339</v>
      </c>
      <c r="D6" s="12" t="s">
        <v>340</v>
      </c>
      <c r="E6" s="12" t="s">
        <v>341</v>
      </c>
      <c r="F6" s="12" t="s">
        <v>342</v>
      </c>
    </row>
    <row r="7" customFormat="false" ht="15" hidden="false" customHeight="true" outlineLevel="0" collapsed="false">
      <c r="A7" s="12" t="s">
        <v>20</v>
      </c>
      <c r="B7" s="12" t="s">
        <v>343</v>
      </c>
      <c r="C7" s="12" t="s">
        <v>344</v>
      </c>
      <c r="D7" s="12" t="s">
        <v>345</v>
      </c>
      <c r="E7" s="12" t="s">
        <v>341</v>
      </c>
      <c r="F7" s="12" t="s">
        <v>346</v>
      </c>
    </row>
    <row r="8" customFormat="false" ht="15" hidden="false" customHeight="true" outlineLevel="0" collapsed="false">
      <c r="A8" s="12" t="s">
        <v>15</v>
      </c>
      <c r="B8" s="12" t="s">
        <v>347</v>
      </c>
      <c r="C8" s="12" t="s">
        <v>348</v>
      </c>
      <c r="D8" s="12" t="s">
        <v>17</v>
      </c>
      <c r="E8" s="12" t="s">
        <v>331</v>
      </c>
      <c r="F8" s="12" t="s">
        <v>349</v>
      </c>
    </row>
    <row r="9" customFormat="false" ht="15" hidden="false" customHeight="true" outlineLevel="0" collapsed="false">
      <c r="A9" s="12" t="s">
        <v>350</v>
      </c>
      <c r="B9" s="12" t="s">
        <v>351</v>
      </c>
      <c r="C9" s="12" t="s">
        <v>352</v>
      </c>
      <c r="D9" s="12" t="s">
        <v>353</v>
      </c>
      <c r="E9" s="12" t="s">
        <v>331</v>
      </c>
      <c r="F9" s="12" t="s">
        <v>349</v>
      </c>
    </row>
    <row r="10" customFormat="false" ht="15" hidden="false" customHeight="true" outlineLevel="0" collapsed="false">
      <c r="A10" s="12" t="s">
        <v>354</v>
      </c>
      <c r="B10" s="12" t="s">
        <v>355</v>
      </c>
      <c r="C10" s="12" t="s">
        <v>356</v>
      </c>
      <c r="D10" s="12" t="s">
        <v>17</v>
      </c>
      <c r="E10" s="12" t="s">
        <v>357</v>
      </c>
      <c r="F10" s="12" t="s">
        <v>358</v>
      </c>
    </row>
    <row r="11" customFormat="false" ht="15" hidden="false" customHeight="true" outlineLevel="0" collapsed="false">
      <c r="A11" s="12" t="s">
        <v>359</v>
      </c>
      <c r="B11" s="12" t="s">
        <v>360</v>
      </c>
      <c r="C11" s="12" t="s">
        <v>361</v>
      </c>
      <c r="D11" s="12" t="s">
        <v>362</v>
      </c>
      <c r="E11" s="12" t="s">
        <v>331</v>
      </c>
      <c r="F11" s="12" t="s">
        <v>336</v>
      </c>
    </row>
    <row r="12" customFormat="false" ht="15" hidden="false" customHeight="true" outlineLevel="0" collapsed="false">
      <c r="A12" s="12" t="s">
        <v>23</v>
      </c>
      <c r="B12" s="12" t="s">
        <v>363</v>
      </c>
      <c r="C12" s="12" t="s">
        <v>364</v>
      </c>
      <c r="D12" s="12" t="s">
        <v>24</v>
      </c>
      <c r="E12" s="12" t="s">
        <v>341</v>
      </c>
      <c r="F12" s="12" t="s">
        <v>346</v>
      </c>
    </row>
    <row r="13" customFormat="false" ht="15" hidden="false" customHeight="true" outlineLevel="0" collapsed="false">
      <c r="A13" s="12" t="s">
        <v>365</v>
      </c>
      <c r="B13" s="12" t="s">
        <v>366</v>
      </c>
      <c r="C13" s="12" t="s">
        <v>367</v>
      </c>
      <c r="D13" s="12" t="s">
        <v>362</v>
      </c>
      <c r="E13" s="12" t="s">
        <v>357</v>
      </c>
      <c r="F13" s="12" t="s">
        <v>358</v>
      </c>
    </row>
    <row r="14" customFormat="false" ht="15" hidden="false" customHeight="true" outlineLevel="0" collapsed="false">
      <c r="A14" s="12" t="s">
        <v>368</v>
      </c>
      <c r="B14" s="12" t="s">
        <v>369</v>
      </c>
      <c r="C14" s="12" t="s">
        <v>370</v>
      </c>
      <c r="D14" s="12" t="s">
        <v>330</v>
      </c>
      <c r="E14" s="12" t="s">
        <v>341</v>
      </c>
      <c r="F14" s="12" t="s">
        <v>346</v>
      </c>
    </row>
    <row r="15" customFormat="false" ht="15" hidden="false" customHeight="true" outlineLevel="0" collapsed="false">
      <c r="A15" s="12" t="s">
        <v>371</v>
      </c>
      <c r="B15" s="12" t="s">
        <v>372</v>
      </c>
      <c r="C15" s="12" t="s">
        <v>373</v>
      </c>
      <c r="D15" s="12" t="s">
        <v>374</v>
      </c>
      <c r="E15" s="12" t="s">
        <v>357</v>
      </c>
      <c r="F15" s="12" t="s">
        <v>358</v>
      </c>
    </row>
    <row r="16" customFormat="false" ht="27.75" hidden="false" customHeight="true" outlineLevel="0" collapsed="false">
      <c r="A16" s="12" t="s">
        <v>375</v>
      </c>
      <c r="B16" s="12" t="s">
        <v>376</v>
      </c>
      <c r="C16" s="12" t="s">
        <v>377</v>
      </c>
      <c r="D16" s="12" t="s">
        <v>17</v>
      </c>
      <c r="E16" s="12" t="s">
        <v>331</v>
      </c>
      <c r="F16" s="12" t="s">
        <v>349</v>
      </c>
    </row>
    <row r="17" customFormat="false" ht="15" hidden="false" customHeight="true" outlineLevel="0" collapsed="false">
      <c r="A17" s="12" t="s">
        <v>378</v>
      </c>
      <c r="B17" s="12" t="s">
        <v>379</v>
      </c>
      <c r="C17" s="12" t="s">
        <v>380</v>
      </c>
      <c r="D17" s="12" t="s">
        <v>353</v>
      </c>
      <c r="E17" s="12" t="s">
        <v>341</v>
      </c>
      <c r="F17" s="12" t="s">
        <v>381</v>
      </c>
    </row>
    <row r="18" customFormat="false" ht="15" hidden="false" customHeight="true" outlineLevel="0" collapsed="false">
      <c r="A18" s="12" t="s">
        <v>382</v>
      </c>
      <c r="B18" s="12" t="s">
        <v>383</v>
      </c>
      <c r="C18" s="12" t="s">
        <v>384</v>
      </c>
      <c r="D18" s="12" t="s">
        <v>17</v>
      </c>
      <c r="E18" s="12" t="s">
        <v>341</v>
      </c>
      <c r="F18" s="12" t="s">
        <v>346</v>
      </c>
    </row>
    <row r="19" customFormat="false" ht="15" hidden="false" customHeight="true" outlineLevel="0" collapsed="false">
      <c r="A19" s="12" t="s">
        <v>385</v>
      </c>
      <c r="B19" s="12" t="s">
        <v>386</v>
      </c>
      <c r="C19" s="12" t="s">
        <v>387</v>
      </c>
      <c r="D19" s="12" t="s">
        <v>17</v>
      </c>
      <c r="E19" s="12" t="s">
        <v>331</v>
      </c>
      <c r="F19" s="12" t="s">
        <v>349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5" min="4" style="1" width="35"/>
  </cols>
  <sheetData>
    <row r="1" customFormat="false" ht="17.25" hidden="false" customHeight="true" outlineLevel="0" collapsed="false">
      <c r="A1" s="11" t="s">
        <v>388</v>
      </c>
      <c r="B1" s="11"/>
      <c r="C1" s="11"/>
      <c r="D1" s="11"/>
      <c r="E1" s="11"/>
    </row>
    <row r="2" customFormat="false" ht="15" hidden="false" customHeight="true" outlineLevel="0" collapsed="false">
      <c r="A2" s="12"/>
      <c r="B2" s="12"/>
      <c r="C2" s="12"/>
      <c r="D2" s="12"/>
      <c r="E2" s="12"/>
    </row>
    <row r="3" customFormat="false" ht="15" hidden="false" customHeight="true" outlineLevel="0" collapsed="false">
      <c r="A3" s="10" t="s">
        <v>198</v>
      </c>
      <c r="B3" s="10" t="s">
        <v>389</v>
      </c>
      <c r="C3" s="10" t="s">
        <v>390</v>
      </c>
      <c r="D3" s="10" t="s">
        <v>391</v>
      </c>
      <c r="E3" s="10" t="s">
        <v>392</v>
      </c>
    </row>
    <row r="4" customFormat="false" ht="15" hidden="false" customHeight="true" outlineLevel="0" collapsed="false">
      <c r="A4" s="12" t="s">
        <v>8</v>
      </c>
      <c r="B4" s="12" t="s">
        <v>393</v>
      </c>
      <c r="C4" s="13" t="s">
        <v>394</v>
      </c>
      <c r="D4" s="12" t="s">
        <v>395</v>
      </c>
      <c r="E4" s="12" t="s">
        <v>396</v>
      </c>
    </row>
    <row r="5" customFormat="false" ht="15" hidden="false" customHeight="true" outlineLevel="0" collapsed="false">
      <c r="A5" s="12" t="s">
        <v>8</v>
      </c>
      <c r="B5" s="12" t="s">
        <v>397</v>
      </c>
      <c r="C5" s="15" t="s">
        <v>398</v>
      </c>
      <c r="D5" s="12" t="s">
        <v>399</v>
      </c>
      <c r="E5" s="12" t="s">
        <v>400</v>
      </c>
    </row>
    <row r="6" customFormat="false" ht="15" hidden="false" customHeight="true" outlineLevel="0" collapsed="false">
      <c r="A6" s="12" t="s">
        <v>8</v>
      </c>
      <c r="B6" s="12" t="s">
        <v>401</v>
      </c>
      <c r="C6" s="15" t="s">
        <v>398</v>
      </c>
      <c r="D6" s="12" t="s">
        <v>402</v>
      </c>
      <c r="E6" s="12" t="s">
        <v>403</v>
      </c>
    </row>
    <row r="7" customFormat="false" ht="15" hidden="false" customHeight="true" outlineLevel="0" collapsed="false">
      <c r="A7" s="12" t="s">
        <v>8</v>
      </c>
      <c r="B7" s="12" t="s">
        <v>404</v>
      </c>
      <c r="C7" s="15" t="s">
        <v>398</v>
      </c>
      <c r="D7" s="12" t="s">
        <v>405</v>
      </c>
      <c r="E7" s="12" t="s">
        <v>406</v>
      </c>
    </row>
    <row r="8" customFormat="false" ht="15" hidden="false" customHeight="true" outlineLevel="0" collapsed="false">
      <c r="A8" s="12" t="s">
        <v>13</v>
      </c>
      <c r="B8" s="12" t="s">
        <v>407</v>
      </c>
      <c r="C8" s="14" t="s">
        <v>408</v>
      </c>
      <c r="D8" s="12" t="s">
        <v>409</v>
      </c>
      <c r="E8" s="12" t="s">
        <v>410</v>
      </c>
    </row>
    <row r="9" customFormat="false" ht="15" hidden="false" customHeight="true" outlineLevel="0" collapsed="false">
      <c r="A9" s="12" t="s">
        <v>13</v>
      </c>
      <c r="B9" s="12" t="s">
        <v>411</v>
      </c>
      <c r="C9" s="13" t="s">
        <v>394</v>
      </c>
      <c r="D9" s="12" t="s">
        <v>412</v>
      </c>
      <c r="E9" s="12" t="s">
        <v>413</v>
      </c>
    </row>
    <row r="10" customFormat="false" ht="15" hidden="false" customHeight="true" outlineLevel="0" collapsed="false">
      <c r="A10" s="12" t="s">
        <v>13</v>
      </c>
      <c r="B10" s="12" t="s">
        <v>414</v>
      </c>
      <c r="C10" s="13" t="s">
        <v>394</v>
      </c>
      <c r="D10" s="12" t="s">
        <v>415</v>
      </c>
      <c r="E10" s="12" t="s">
        <v>416</v>
      </c>
    </row>
    <row r="11" customFormat="false" ht="15" hidden="false" customHeight="true" outlineLevel="0" collapsed="false">
      <c r="A11" s="12" t="s">
        <v>13</v>
      </c>
      <c r="B11" s="12" t="s">
        <v>417</v>
      </c>
      <c r="C11" s="15" t="s">
        <v>398</v>
      </c>
      <c r="D11" s="12" t="s">
        <v>418</v>
      </c>
      <c r="E11" s="12" t="s">
        <v>419</v>
      </c>
    </row>
    <row r="12" customFormat="false" ht="15" hidden="false" customHeight="true" outlineLevel="0" collapsed="false">
      <c r="A12" s="12" t="s">
        <v>18</v>
      </c>
      <c r="B12" s="12" t="s">
        <v>420</v>
      </c>
      <c r="C12" s="13" t="s">
        <v>394</v>
      </c>
      <c r="D12" s="12" t="s">
        <v>421</v>
      </c>
      <c r="E12" s="12" t="s">
        <v>422</v>
      </c>
    </row>
    <row r="13" customFormat="false" ht="15" hidden="false" customHeight="true" outlineLevel="0" collapsed="false">
      <c r="A13" s="12" t="s">
        <v>18</v>
      </c>
      <c r="B13" s="12" t="s">
        <v>423</v>
      </c>
      <c r="C13" s="15" t="s">
        <v>398</v>
      </c>
      <c r="D13" s="12" t="s">
        <v>424</v>
      </c>
      <c r="E13" s="12" t="s">
        <v>425</v>
      </c>
    </row>
    <row r="14" customFormat="false" ht="15" hidden="false" customHeight="true" outlineLevel="0" collapsed="false">
      <c r="A14" s="12" t="s">
        <v>18</v>
      </c>
      <c r="B14" s="12" t="s">
        <v>426</v>
      </c>
      <c r="C14" s="15" t="s">
        <v>398</v>
      </c>
      <c r="D14" s="12" t="s">
        <v>427</v>
      </c>
      <c r="E14" s="12" t="s">
        <v>428</v>
      </c>
    </row>
    <row r="15" customFormat="false" ht="15" hidden="false" customHeight="true" outlineLevel="0" collapsed="false">
      <c r="A15" s="12" t="s">
        <v>18</v>
      </c>
      <c r="B15" s="12" t="s">
        <v>429</v>
      </c>
      <c r="C15" s="13" t="s">
        <v>394</v>
      </c>
      <c r="D15" s="12" t="s">
        <v>430</v>
      </c>
      <c r="E15" s="12" t="s">
        <v>431</v>
      </c>
    </row>
    <row r="16" customFormat="false" ht="15" hidden="false" customHeight="true" outlineLevel="0" collapsed="false">
      <c r="A16" s="12" t="s">
        <v>21</v>
      </c>
      <c r="B16" s="12" t="s">
        <v>432</v>
      </c>
      <c r="C16" s="13" t="s">
        <v>394</v>
      </c>
      <c r="D16" s="12" t="s">
        <v>433</v>
      </c>
      <c r="E16" s="12" t="s">
        <v>434</v>
      </c>
    </row>
    <row r="17" customFormat="false" ht="15" hidden="false" customHeight="true" outlineLevel="0" collapsed="false">
      <c r="A17" s="12" t="s">
        <v>21</v>
      </c>
      <c r="B17" s="12" t="s">
        <v>435</v>
      </c>
      <c r="C17" s="15" t="s">
        <v>398</v>
      </c>
      <c r="D17" s="12" t="s">
        <v>436</v>
      </c>
      <c r="E17" s="12" t="s">
        <v>437</v>
      </c>
    </row>
    <row r="18" customFormat="false" ht="15" hidden="false" customHeight="true" outlineLevel="0" collapsed="false">
      <c r="A18" s="12" t="s">
        <v>25</v>
      </c>
      <c r="B18" s="12" t="s">
        <v>438</v>
      </c>
      <c r="C18" s="15" t="s">
        <v>398</v>
      </c>
      <c r="D18" s="12" t="s">
        <v>439</v>
      </c>
      <c r="E18" s="12" t="s">
        <v>440</v>
      </c>
    </row>
    <row r="19" customFormat="false" ht="15" hidden="false" customHeight="true" outlineLevel="0" collapsed="false">
      <c r="A19" s="12" t="s">
        <v>25</v>
      </c>
      <c r="B19" s="12" t="s">
        <v>441</v>
      </c>
      <c r="C19" s="13" t="s">
        <v>394</v>
      </c>
      <c r="D19" s="12" t="s">
        <v>442</v>
      </c>
      <c r="E19" s="12" t="s">
        <v>443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60"/>
    <col collapsed="false" customWidth="true" hidden="false" outlineLevel="0" max="7" min="7" style="1" width="35"/>
  </cols>
  <sheetData>
    <row r="1" customFormat="false" ht="17.25" hidden="false" customHeight="true" outlineLevel="0" collapsed="false">
      <c r="A1" s="11" t="s">
        <v>444</v>
      </c>
      <c r="B1" s="11"/>
      <c r="C1" s="11"/>
      <c r="D1" s="11"/>
      <c r="E1" s="11"/>
      <c r="F1" s="11"/>
      <c r="G1" s="11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  <c r="G2" s="12"/>
    </row>
    <row r="3" customFormat="false" ht="15" hidden="false" customHeight="true" outlineLevel="0" collapsed="false">
      <c r="A3" s="10" t="s">
        <v>445</v>
      </c>
      <c r="B3" s="10" t="s">
        <v>198</v>
      </c>
      <c r="C3" s="10" t="s">
        <v>446</v>
      </c>
      <c r="D3" s="10" t="s">
        <v>447</v>
      </c>
      <c r="E3" s="10" t="s">
        <v>448</v>
      </c>
      <c r="F3" s="10" t="s">
        <v>449</v>
      </c>
      <c r="G3" s="10" t="s">
        <v>450</v>
      </c>
    </row>
    <row r="4" customFormat="false" ht="27.75" hidden="false" customHeight="true" outlineLevel="0" collapsed="false">
      <c r="A4" s="12" t="s">
        <v>451</v>
      </c>
      <c r="B4" s="12" t="s">
        <v>8</v>
      </c>
      <c r="C4" s="12" t="s">
        <v>374</v>
      </c>
      <c r="D4" s="12" t="s">
        <v>452</v>
      </c>
      <c r="E4" s="12" t="s">
        <v>453</v>
      </c>
      <c r="F4" s="12" t="s">
        <v>454</v>
      </c>
      <c r="G4" s="12" t="s">
        <v>455</v>
      </c>
    </row>
    <row r="5" customFormat="false" ht="27.75" hidden="false" customHeight="true" outlineLevel="0" collapsed="false">
      <c r="A5" s="12" t="s">
        <v>456</v>
      </c>
      <c r="B5" s="12" t="s">
        <v>13</v>
      </c>
      <c r="C5" s="12" t="s">
        <v>17</v>
      </c>
      <c r="D5" s="12" t="s">
        <v>457</v>
      </c>
      <c r="E5" s="12" t="s">
        <v>458</v>
      </c>
      <c r="F5" s="12" t="s">
        <v>459</v>
      </c>
      <c r="G5" s="12" t="s">
        <v>460</v>
      </c>
    </row>
    <row r="6" customFormat="false" ht="27.75" hidden="false" customHeight="true" outlineLevel="0" collapsed="false">
      <c r="A6" s="12" t="s">
        <v>461</v>
      </c>
      <c r="B6" s="12" t="s">
        <v>18</v>
      </c>
      <c r="C6" s="12" t="s">
        <v>17</v>
      </c>
      <c r="D6" s="12" t="s">
        <v>462</v>
      </c>
      <c r="E6" s="12" t="s">
        <v>463</v>
      </c>
      <c r="F6" s="12" t="s">
        <v>464</v>
      </c>
      <c r="G6" s="12" t="s">
        <v>465</v>
      </c>
    </row>
    <row r="7" customFormat="false" ht="15" hidden="false" customHeight="true" outlineLevel="0" collapsed="false">
      <c r="A7" s="12" t="s">
        <v>466</v>
      </c>
      <c r="B7" s="12"/>
      <c r="C7" s="12"/>
      <c r="D7" s="12"/>
      <c r="E7" s="12"/>
      <c r="F7" s="12"/>
      <c r="G7" s="12"/>
    </row>
    <row r="8" customFormat="false" ht="15" hidden="false" customHeight="true" outlineLevel="0" collapsed="false">
      <c r="A8" s="12" t="s">
        <v>467</v>
      </c>
      <c r="B8" s="12"/>
      <c r="C8" s="12"/>
      <c r="D8" s="12"/>
      <c r="E8" s="12"/>
      <c r="F8" s="12"/>
      <c r="G8" s="12"/>
    </row>
    <row r="9" customFormat="false" ht="15" hidden="false" customHeight="true" outlineLevel="0" collapsed="false">
      <c r="A9" s="12" t="s">
        <v>468</v>
      </c>
      <c r="B9" s="12"/>
      <c r="C9" s="12"/>
      <c r="D9" s="12"/>
      <c r="E9" s="12"/>
      <c r="F9" s="12"/>
      <c r="G9" s="12"/>
    </row>
    <row r="10" customFormat="false" ht="15" hidden="false" customHeight="true" outlineLevel="0" collapsed="false">
      <c r="A10" s="12" t="s">
        <v>469</v>
      </c>
      <c r="B10" s="12"/>
      <c r="C10" s="12"/>
      <c r="D10" s="12"/>
      <c r="E10" s="12"/>
      <c r="F10" s="12"/>
      <c r="G10" s="12"/>
    </row>
    <row r="11" customFormat="false" ht="15" hidden="false" customHeight="true" outlineLevel="0" collapsed="false">
      <c r="A11" s="12" t="s">
        <v>470</v>
      </c>
      <c r="B11" s="12"/>
      <c r="C11" s="12"/>
      <c r="D11" s="12"/>
      <c r="E11" s="12"/>
      <c r="F11" s="12"/>
      <c r="G11" s="12"/>
    </row>
    <row r="12" customFormat="false" ht="15" hidden="false" customHeight="true" outlineLevel="0" collapsed="false">
      <c r="A12" s="12" t="s">
        <v>471</v>
      </c>
      <c r="B12" s="12"/>
      <c r="C12" s="12"/>
      <c r="D12" s="12"/>
      <c r="E12" s="12"/>
      <c r="F12" s="12"/>
      <c r="G12" s="12"/>
    </row>
    <row r="13" customFormat="false" ht="15" hidden="false" customHeight="true" outlineLevel="0" collapsed="false">
      <c r="A13" s="12" t="s">
        <v>472</v>
      </c>
      <c r="B13" s="12"/>
      <c r="C13" s="12"/>
      <c r="D13" s="12"/>
      <c r="E13" s="12"/>
      <c r="F13" s="12"/>
      <c r="G13" s="1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5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9" t="s">
        <v>473</v>
      </c>
      <c r="B1" s="9"/>
      <c r="C1" s="9"/>
      <c r="D1" s="9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3" t="s">
        <v>474</v>
      </c>
      <c r="B3" s="3" t="s">
        <v>475</v>
      </c>
      <c r="C3" s="3" t="s">
        <v>476</v>
      </c>
      <c r="D3" s="3" t="s">
        <v>477</v>
      </c>
    </row>
    <row r="4" customFormat="false" ht="15" hidden="false" customHeight="true" outlineLevel="0" collapsed="false">
      <c r="A4" s="10" t="s">
        <v>478</v>
      </c>
      <c r="B4" s="10" t="s">
        <v>479</v>
      </c>
      <c r="C4" s="10"/>
      <c r="D4" s="10" t="s">
        <v>480</v>
      </c>
    </row>
    <row r="5" customFormat="false" ht="15" hidden="false" customHeight="true" outlineLevel="0" collapsed="false">
      <c r="A5" s="3" t="s">
        <v>481</v>
      </c>
      <c r="B5" s="3" t="s">
        <v>482</v>
      </c>
      <c r="C5" s="3"/>
      <c r="D5" s="3" t="s">
        <v>483</v>
      </c>
    </row>
    <row r="6" customFormat="false" ht="15" hidden="false" customHeight="true" outlineLevel="0" collapsed="false">
      <c r="A6" s="3" t="s">
        <v>484</v>
      </c>
      <c r="B6" s="3" t="s">
        <v>485</v>
      </c>
      <c r="C6" s="3"/>
      <c r="D6" s="3" t="s">
        <v>486</v>
      </c>
    </row>
    <row r="7" customFormat="false" ht="15" hidden="false" customHeight="true" outlineLevel="0" collapsed="false">
      <c r="A7" s="3" t="s">
        <v>487</v>
      </c>
      <c r="B7" s="3" t="s">
        <v>482</v>
      </c>
      <c r="C7" s="3"/>
      <c r="D7" s="3" t="s">
        <v>488</v>
      </c>
    </row>
    <row r="8" customFormat="false" ht="15" hidden="false" customHeight="true" outlineLevel="0" collapsed="false">
      <c r="A8" s="3" t="s">
        <v>489</v>
      </c>
      <c r="B8" s="3" t="s">
        <v>482</v>
      </c>
      <c r="C8" s="3"/>
      <c r="D8" s="3" t="s">
        <v>490</v>
      </c>
    </row>
    <row r="9" customFormat="false" ht="15" hidden="false" customHeight="true" outlineLevel="0" collapsed="false">
      <c r="A9" s="3"/>
      <c r="B9" s="3"/>
      <c r="C9" s="3"/>
      <c r="D9" s="3"/>
    </row>
    <row r="10" customFormat="false" ht="15" hidden="false" customHeight="true" outlineLevel="0" collapsed="false">
      <c r="A10" s="3" t="s">
        <v>297</v>
      </c>
      <c r="B10" s="3" t="s">
        <v>491</v>
      </c>
      <c r="C10" s="3" t="n">
        <f aca="false">SUM(C4:C8)</f>
        <v>0</v>
      </c>
      <c r="D10" s="3" t="s">
        <v>492</v>
      </c>
    </row>
    <row r="11" customFormat="false" ht="15" hidden="false" customHeight="true" outlineLevel="0" collapsed="false">
      <c r="A11" s="3"/>
      <c r="B11" s="3"/>
      <c r="C11" s="3"/>
      <c r="D11" s="3"/>
    </row>
    <row r="12" customFormat="false" ht="15" hidden="false" customHeight="true" outlineLevel="0" collapsed="false">
      <c r="A12" s="3" t="s">
        <v>493</v>
      </c>
      <c r="B12" s="3"/>
      <c r="C12" s="3"/>
      <c r="D12" s="3"/>
    </row>
    <row r="13" customFormat="false" ht="15" hidden="false" customHeight="true" outlineLevel="0" collapsed="false">
      <c r="A13" s="10" t="s">
        <v>198</v>
      </c>
      <c r="B13" s="10" t="s">
        <v>494</v>
      </c>
      <c r="C13" s="10" t="s">
        <v>495</v>
      </c>
      <c r="D13" s="10" t="s">
        <v>496</v>
      </c>
    </row>
    <row r="14" customFormat="false" ht="15" hidden="false" customHeight="true" outlineLevel="0" collapsed="false">
      <c r="A14" s="3" t="s">
        <v>497</v>
      </c>
      <c r="B14" s="3" t="s">
        <v>498</v>
      </c>
      <c r="C14" s="3" t="s">
        <v>479</v>
      </c>
      <c r="D14" s="3" t="s">
        <v>499</v>
      </c>
    </row>
    <row r="15" customFormat="false" ht="15" hidden="false" customHeight="true" outlineLevel="0" collapsed="false">
      <c r="A15" s="3" t="s">
        <v>270</v>
      </c>
      <c r="B15" s="3" t="s">
        <v>500</v>
      </c>
      <c r="C15" s="3" t="s">
        <v>479</v>
      </c>
      <c r="D15" s="3" t="s">
        <v>501</v>
      </c>
    </row>
    <row r="16" customFormat="false" ht="15" hidden="false" customHeight="true" outlineLevel="0" collapsed="false">
      <c r="A16" s="3" t="s">
        <v>502</v>
      </c>
      <c r="B16" s="3" t="s">
        <v>503</v>
      </c>
      <c r="C16" s="3" t="s">
        <v>479</v>
      </c>
      <c r="D16" s="3" t="s">
        <v>504</v>
      </c>
    </row>
    <row r="17" customFormat="false" ht="15" hidden="false" customHeight="true" outlineLevel="0" collapsed="false">
      <c r="A17" s="3" t="s">
        <v>505</v>
      </c>
      <c r="B17" s="3" t="s">
        <v>482</v>
      </c>
      <c r="C17" s="3" t="s">
        <v>482</v>
      </c>
      <c r="D17" s="3" t="s">
        <v>506</v>
      </c>
    </row>
    <row r="18" customFormat="false" ht="15" hidden="false" customHeight="true" outlineLevel="0" collapsed="false">
      <c r="A18" s="3"/>
      <c r="B18" s="3"/>
      <c r="C18" s="3"/>
      <c r="D18" s="3"/>
    </row>
    <row r="19" customFormat="false" ht="15" hidden="false" customHeight="true" outlineLevel="0" collapsed="false">
      <c r="A19" s="3" t="s">
        <v>507</v>
      </c>
      <c r="B19" s="3"/>
      <c r="C19" s="3"/>
      <c r="D19" s="3"/>
    </row>
    <row r="20" customFormat="false" ht="15" hidden="false" customHeight="true" outlineLevel="0" collapsed="false">
      <c r="A20" s="3" t="s">
        <v>508</v>
      </c>
      <c r="B20" s="3" t="s">
        <v>509</v>
      </c>
      <c r="C20" s="3"/>
      <c r="D20" s="3"/>
    </row>
    <row r="21" customFormat="false" ht="15" hidden="false" customHeight="true" outlineLevel="0" collapsed="false">
      <c r="A21" s="3" t="s">
        <v>510</v>
      </c>
      <c r="B21" s="3" t="s">
        <v>511</v>
      </c>
      <c r="C21" s="3"/>
      <c r="D21" s="3"/>
    </row>
    <row r="22" customFormat="false" ht="15" hidden="false" customHeight="true" outlineLevel="0" collapsed="false">
      <c r="A22" s="3" t="s">
        <v>512</v>
      </c>
      <c r="B22" s="3" t="s">
        <v>513</v>
      </c>
      <c r="C22" s="3"/>
      <c r="D22" s="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4" min="3" style="1" width="12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9" t="s">
        <v>514</v>
      </c>
      <c r="B1" s="9"/>
      <c r="C1" s="9"/>
      <c r="D1" s="9"/>
      <c r="E1" s="9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10" t="s">
        <v>515</v>
      </c>
      <c r="B3" s="10" t="s">
        <v>516</v>
      </c>
      <c r="C3" s="10" t="s">
        <v>517</v>
      </c>
      <c r="D3" s="10" t="s">
        <v>198</v>
      </c>
      <c r="E3" s="10" t="s">
        <v>518</v>
      </c>
    </row>
    <row r="4" customFormat="false" ht="15" hidden="false" customHeight="true" outlineLevel="0" collapsed="false">
      <c r="A4" s="3" t="s">
        <v>519</v>
      </c>
      <c r="B4" s="3" t="s">
        <v>520</v>
      </c>
      <c r="C4" s="6" t="s">
        <v>521</v>
      </c>
      <c r="D4" s="3" t="s">
        <v>8</v>
      </c>
      <c r="E4" s="3" t="s">
        <v>522</v>
      </c>
    </row>
    <row r="5" customFormat="false" ht="15" hidden="false" customHeight="true" outlineLevel="0" collapsed="false">
      <c r="A5" s="3" t="s">
        <v>374</v>
      </c>
      <c r="B5" s="3" t="s">
        <v>523</v>
      </c>
      <c r="C5" s="6" t="s">
        <v>521</v>
      </c>
      <c r="D5" s="3" t="s">
        <v>8</v>
      </c>
      <c r="E5" s="3" t="s">
        <v>524</v>
      </c>
    </row>
    <row r="6" customFormat="false" ht="15" hidden="false" customHeight="true" outlineLevel="0" collapsed="false">
      <c r="A6" s="3" t="s">
        <v>525</v>
      </c>
      <c r="B6" s="3" t="s">
        <v>526</v>
      </c>
      <c r="C6" s="6" t="s">
        <v>521</v>
      </c>
      <c r="D6" s="3" t="s">
        <v>8</v>
      </c>
      <c r="E6" s="3" t="s">
        <v>527</v>
      </c>
    </row>
    <row r="7" customFormat="false" ht="15" hidden="false" customHeight="true" outlineLevel="0" collapsed="false">
      <c r="A7" s="3" t="s">
        <v>24</v>
      </c>
      <c r="B7" s="3" t="s">
        <v>528</v>
      </c>
      <c r="C7" s="8" t="s">
        <v>394</v>
      </c>
      <c r="D7" s="3" t="s">
        <v>21</v>
      </c>
      <c r="E7" s="3" t="s">
        <v>529</v>
      </c>
    </row>
    <row r="8" customFormat="false" ht="15" hidden="false" customHeight="true" outlineLevel="0" collapsed="false">
      <c r="A8" s="3" t="s">
        <v>17</v>
      </c>
      <c r="B8" s="3" t="s">
        <v>530</v>
      </c>
      <c r="C8" s="8" t="s">
        <v>394</v>
      </c>
      <c r="D8" s="3" t="s">
        <v>13</v>
      </c>
      <c r="E8" s="3" t="s">
        <v>531</v>
      </c>
    </row>
    <row r="9" customFormat="false" ht="15" hidden="false" customHeight="true" outlineLevel="0" collapsed="false">
      <c r="A9" s="3"/>
      <c r="B9" s="3"/>
      <c r="C9" s="3"/>
      <c r="D9" s="3"/>
      <c r="E9" s="3"/>
    </row>
    <row r="10" customFormat="false" ht="27.75" hidden="false" customHeight="true" outlineLevel="0" collapsed="false">
      <c r="A10" s="10" t="s">
        <v>532</v>
      </c>
      <c r="B10" s="10"/>
      <c r="C10" s="10"/>
      <c r="D10" s="10"/>
      <c r="E10" s="10"/>
    </row>
    <row r="11" customFormat="false" ht="15" hidden="false" customHeight="true" outlineLevel="0" collapsed="false">
      <c r="A11" s="6" t="s">
        <v>521</v>
      </c>
      <c r="B11" s="3" t="s">
        <v>533</v>
      </c>
      <c r="C11" s="3"/>
      <c r="D11" s="3"/>
      <c r="E11" s="3"/>
    </row>
    <row r="12" customFormat="false" ht="15" hidden="false" customHeight="true" outlineLevel="0" collapsed="false">
      <c r="A12" s="8" t="s">
        <v>394</v>
      </c>
      <c r="B12" s="3" t="s">
        <v>534</v>
      </c>
      <c r="C12" s="3"/>
      <c r="D12" s="3"/>
      <c r="E12" s="3"/>
    </row>
    <row r="13" customFormat="false" ht="15" hidden="false" customHeight="true" outlineLevel="0" collapsed="false">
      <c r="A13" s="3" t="s">
        <v>398</v>
      </c>
      <c r="B13" s="3" t="s">
        <v>535</v>
      </c>
      <c r="C13" s="3"/>
      <c r="D13" s="3"/>
      <c r="E13" s="3"/>
    </row>
    <row r="14" customFormat="false" ht="15" hidden="false" customHeight="true" outlineLevel="0" collapsed="false">
      <c r="A14" s="3" t="s">
        <v>408</v>
      </c>
      <c r="B14" s="3" t="s">
        <v>536</v>
      </c>
      <c r="C14" s="3"/>
      <c r="D14" s="3"/>
      <c r="E14" s="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7" min="6" style="1" width="15"/>
    <col collapsed="false" customWidth="true" hidden="false" outlineLevel="0" max="8" min="8" style="1" width="12"/>
    <col collapsed="false" customWidth="true" hidden="false" outlineLevel="0" max="9" min="9" style="1" width="8"/>
  </cols>
  <sheetData>
    <row r="1" customFormat="false" ht="17.25" hidden="false" customHeight="true" outlineLevel="0" collapsed="false">
      <c r="A1" s="9" t="s">
        <v>537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0" t="s">
        <v>538</v>
      </c>
      <c r="B3" s="10" t="s">
        <v>539</v>
      </c>
      <c r="C3" s="10" t="s">
        <v>198</v>
      </c>
      <c r="D3" s="10" t="s">
        <v>446</v>
      </c>
      <c r="E3" s="10" t="s">
        <v>447</v>
      </c>
      <c r="F3" s="10" t="s">
        <v>540</v>
      </c>
      <c r="G3" s="10" t="s">
        <v>541</v>
      </c>
      <c r="H3" s="10" t="s">
        <v>542</v>
      </c>
      <c r="I3" s="10" t="s">
        <v>543</v>
      </c>
    </row>
    <row r="4" customFormat="false" ht="15" hidden="false" customHeight="true" outlineLevel="0" collapsed="false">
      <c r="A4" s="3" t="s">
        <v>544</v>
      </c>
      <c r="B4" s="3" t="s">
        <v>451</v>
      </c>
      <c r="C4" s="3" t="s">
        <v>8</v>
      </c>
      <c r="D4" s="3" t="s">
        <v>374</v>
      </c>
      <c r="E4" s="3" t="s">
        <v>453</v>
      </c>
      <c r="F4" s="3" t="s">
        <v>545</v>
      </c>
      <c r="G4" s="3" t="s">
        <v>546</v>
      </c>
      <c r="H4" s="7" t="s">
        <v>547</v>
      </c>
      <c r="I4" s="7" t="s">
        <v>122</v>
      </c>
    </row>
    <row r="5" customFormat="false" ht="15" hidden="false" customHeight="true" outlineLevel="0" collapsed="false">
      <c r="A5" s="3" t="s">
        <v>544</v>
      </c>
      <c r="B5" s="3" t="s">
        <v>456</v>
      </c>
      <c r="C5" s="3" t="s">
        <v>13</v>
      </c>
      <c r="D5" s="3" t="s">
        <v>17</v>
      </c>
      <c r="E5" s="3" t="s">
        <v>458</v>
      </c>
      <c r="F5" s="3" t="s">
        <v>103</v>
      </c>
      <c r="G5" s="3" t="s">
        <v>548</v>
      </c>
      <c r="H5" s="7" t="s">
        <v>547</v>
      </c>
      <c r="I5" s="7" t="s">
        <v>122</v>
      </c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5"/>
    <col collapsed="false" customWidth="true" hidden="false" outlineLevel="0" max="5" min="4" style="1" width="18"/>
    <col collapsed="false" customWidth="true" hidden="false" outlineLevel="0" max="6" min="6" style="1" width="12"/>
    <col collapsed="false" customWidth="true" hidden="false" outlineLevel="0" max="8" min="7" style="1" width="10"/>
  </cols>
  <sheetData>
    <row r="1" customFormat="false" ht="17.25" hidden="false" customHeight="true" outlineLevel="0" collapsed="false">
      <c r="A1" s="9" t="s">
        <v>549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27.75" hidden="false" customHeight="true" outlineLevel="0" collapsed="false">
      <c r="A3" s="10" t="s">
        <v>539</v>
      </c>
      <c r="B3" s="10" t="s">
        <v>550</v>
      </c>
      <c r="C3" s="10" t="s">
        <v>551</v>
      </c>
      <c r="D3" s="10" t="s">
        <v>552</v>
      </c>
      <c r="E3" s="10" t="s">
        <v>553</v>
      </c>
      <c r="F3" s="10" t="s">
        <v>554</v>
      </c>
      <c r="G3" s="10" t="s">
        <v>297</v>
      </c>
      <c r="H3" s="10" t="s">
        <v>555</v>
      </c>
    </row>
    <row r="4" customFormat="false" ht="15" hidden="false" customHeight="true" outlineLevel="0" collapsed="false">
      <c r="A4" s="3" t="s">
        <v>451</v>
      </c>
      <c r="B4" s="3" t="s">
        <v>142</v>
      </c>
      <c r="C4" s="3" t="s">
        <v>148</v>
      </c>
      <c r="D4" s="3" t="s">
        <v>145</v>
      </c>
      <c r="E4" s="3" t="s">
        <v>142</v>
      </c>
      <c r="F4" s="3" t="s">
        <v>148</v>
      </c>
      <c r="G4" s="3" t="n">
        <f aca="false">SUM(B4:F4)</f>
        <v>0</v>
      </c>
      <c r="H4" s="3" t="str">
        <f aca="false">IF(G4&gt;=40,"PASS","FAIL")</f>
        <v>FAIL</v>
      </c>
    </row>
    <row r="5" customFormat="false" ht="15" hidden="false" customHeight="true" outlineLevel="0" collapsed="false">
      <c r="A5" s="3" t="s">
        <v>456</v>
      </c>
      <c r="B5" s="3" t="s">
        <v>145</v>
      </c>
      <c r="C5" s="3" t="s">
        <v>142</v>
      </c>
      <c r="D5" s="3" t="s">
        <v>142</v>
      </c>
      <c r="E5" s="3" t="s">
        <v>145</v>
      </c>
      <c r="F5" s="3" t="s">
        <v>142</v>
      </c>
      <c r="G5" s="3" t="n">
        <f aca="false">SUM(B5:F5)</f>
        <v>0</v>
      </c>
      <c r="H5" s="3" t="str">
        <f aca="false">IF(G5&gt;=40,"PASS","FAIL")</f>
        <v>FAIL</v>
      </c>
    </row>
    <row r="6" customFormat="false" ht="15" hidden="false" customHeight="true" outlineLevel="0" collapsed="false">
      <c r="A6" s="3" t="s">
        <v>461</v>
      </c>
      <c r="B6" s="3"/>
      <c r="C6" s="3"/>
      <c r="D6" s="3"/>
      <c r="E6" s="3"/>
      <c r="F6" s="3"/>
      <c r="G6" s="3" t="n">
        <f aca="false">SUM(B6:F6)</f>
        <v>0</v>
      </c>
      <c r="H6" s="3" t="str">
        <f aca="false">IF(G6&gt;=40,"PASS","FAIL")</f>
        <v>FAIL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3" t="s">
        <v>556</v>
      </c>
      <c r="B12" s="3"/>
      <c r="C12" s="3"/>
      <c r="D12" s="3"/>
      <c r="E12" s="3"/>
      <c r="F12" s="3"/>
      <c r="G12" s="3"/>
      <c r="H12" s="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50"/>
    <col collapsed="false" customWidth="true" hidden="false" outlineLevel="0" max="3" min="3" style="1" width="45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9" t="s">
        <v>557</v>
      </c>
      <c r="B1" s="9"/>
      <c r="C1" s="9"/>
      <c r="D1" s="9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5" t="s">
        <v>558</v>
      </c>
      <c r="B3" s="3"/>
      <c r="C3" s="3"/>
      <c r="D3" s="3"/>
    </row>
    <row r="4" customFormat="false" ht="15" hidden="false" customHeight="true" outlineLevel="0" collapsed="false">
      <c r="A4" s="10" t="s">
        <v>559</v>
      </c>
      <c r="B4" s="10" t="s">
        <v>560</v>
      </c>
      <c r="C4" s="10" t="s">
        <v>561</v>
      </c>
      <c r="D4" s="10"/>
    </row>
    <row r="5" customFormat="false" ht="15" hidden="false" customHeight="true" outlineLevel="0" collapsed="false">
      <c r="A5" s="3" t="s">
        <v>562</v>
      </c>
      <c r="B5" s="3" t="s">
        <v>563</v>
      </c>
      <c r="C5" s="3" t="s">
        <v>564</v>
      </c>
      <c r="D5" s="3"/>
    </row>
    <row r="6" customFormat="false" ht="15" hidden="false" customHeight="true" outlineLevel="0" collapsed="false">
      <c r="A6" s="3" t="s">
        <v>565</v>
      </c>
      <c r="B6" s="3" t="s">
        <v>566</v>
      </c>
      <c r="C6" s="3" t="s">
        <v>567</v>
      </c>
      <c r="D6" s="3"/>
    </row>
    <row r="7" customFormat="false" ht="15" hidden="false" customHeight="true" outlineLevel="0" collapsed="false">
      <c r="A7" s="3" t="s">
        <v>568</v>
      </c>
      <c r="B7" s="3" t="s">
        <v>569</v>
      </c>
      <c r="C7" s="3" t="s">
        <v>570</v>
      </c>
      <c r="D7" s="3"/>
    </row>
    <row r="8" customFormat="false" ht="15" hidden="false" customHeight="true" outlineLevel="0" collapsed="false">
      <c r="A8" s="3" t="s">
        <v>571</v>
      </c>
      <c r="B8" s="3" t="s">
        <v>572</v>
      </c>
      <c r="C8" s="3" t="s">
        <v>573</v>
      </c>
      <c r="D8" s="3"/>
    </row>
    <row r="9" customFormat="false" ht="15" hidden="false" customHeight="true" outlineLevel="0" collapsed="false">
      <c r="A9" s="3" t="s">
        <v>574</v>
      </c>
      <c r="B9" s="3" t="s">
        <v>575</v>
      </c>
      <c r="C9" s="3" t="s">
        <v>576</v>
      </c>
      <c r="D9" s="3"/>
    </row>
    <row r="10" customFormat="false" ht="15" hidden="false" customHeight="true" outlineLevel="0" collapsed="false">
      <c r="A10" s="3" t="s">
        <v>577</v>
      </c>
      <c r="B10" s="3" t="s">
        <v>578</v>
      </c>
      <c r="C10" s="3" t="s">
        <v>579</v>
      </c>
      <c r="D10" s="3"/>
    </row>
    <row r="11" customFormat="false" ht="15" hidden="false" customHeight="true" outlineLevel="0" collapsed="false">
      <c r="A11" s="3" t="s">
        <v>580</v>
      </c>
      <c r="B11" s="3" t="s">
        <v>581</v>
      </c>
      <c r="C11" s="3" t="s">
        <v>582</v>
      </c>
      <c r="D11" s="3"/>
    </row>
    <row r="12" customFormat="false" ht="15" hidden="false" customHeight="true" outlineLevel="0" collapsed="false">
      <c r="A12" s="3"/>
      <c r="B12" s="3"/>
      <c r="C12" s="3"/>
      <c r="D12" s="3"/>
    </row>
    <row r="13" customFormat="false" ht="15" hidden="false" customHeight="true" outlineLevel="0" collapsed="false">
      <c r="A13" s="5" t="s">
        <v>583</v>
      </c>
      <c r="B13" s="3"/>
      <c r="C13" s="3"/>
      <c r="D13" s="3"/>
    </row>
    <row r="14" customFormat="false" ht="15" hidden="false" customHeight="true" outlineLevel="0" collapsed="false">
      <c r="A14" s="10" t="s">
        <v>584</v>
      </c>
      <c r="B14" s="10" t="s">
        <v>301</v>
      </c>
      <c r="C14" s="10" t="s">
        <v>585</v>
      </c>
      <c r="D14" s="10"/>
    </row>
    <row r="15" customFormat="false" ht="15" hidden="false" customHeight="true" outlineLevel="0" collapsed="false">
      <c r="A15" s="3" t="s">
        <v>149</v>
      </c>
      <c r="B15" s="3" t="s">
        <v>586</v>
      </c>
      <c r="C15" s="3" t="s">
        <v>587</v>
      </c>
      <c r="D15" s="3"/>
    </row>
    <row r="16" customFormat="false" ht="15" hidden="false" customHeight="true" outlineLevel="0" collapsed="false">
      <c r="A16" s="3" t="s">
        <v>143</v>
      </c>
      <c r="B16" s="3" t="s">
        <v>588</v>
      </c>
      <c r="C16" s="3" t="s">
        <v>589</v>
      </c>
      <c r="D16" s="3"/>
    </row>
    <row r="17" customFormat="false" ht="15" hidden="false" customHeight="true" outlineLevel="0" collapsed="false">
      <c r="A17" s="3" t="s">
        <v>284</v>
      </c>
      <c r="B17" s="3" t="s">
        <v>590</v>
      </c>
      <c r="C17" s="3" t="s">
        <v>591</v>
      </c>
      <c r="D17" s="3"/>
    </row>
    <row r="18" customFormat="false" ht="15" hidden="false" customHeight="true" outlineLevel="0" collapsed="false">
      <c r="A18" s="3" t="s">
        <v>287</v>
      </c>
      <c r="B18" s="3" t="s">
        <v>592</v>
      </c>
      <c r="C18" s="3" t="s">
        <v>593</v>
      </c>
      <c r="D18" s="3"/>
    </row>
    <row r="19" customFormat="false" ht="15" hidden="false" customHeight="true" outlineLevel="0" collapsed="false">
      <c r="A19" s="3" t="s">
        <v>289</v>
      </c>
      <c r="B19" s="3" t="s">
        <v>594</v>
      </c>
      <c r="C19" s="3" t="s">
        <v>595</v>
      </c>
      <c r="D19" s="3"/>
    </row>
    <row r="20" customFormat="false" ht="15" hidden="false" customHeight="true" outlineLevel="0" collapsed="false">
      <c r="A20" s="3" t="s">
        <v>291</v>
      </c>
      <c r="B20" s="3" t="s">
        <v>596</v>
      </c>
      <c r="C20" s="3" t="s">
        <v>597</v>
      </c>
      <c r="D20" s="3"/>
    </row>
    <row r="21" customFormat="false" ht="15" hidden="false" customHeight="true" outlineLevel="0" collapsed="false">
      <c r="A21" s="3" t="s">
        <v>152</v>
      </c>
      <c r="B21" s="3" t="s">
        <v>598</v>
      </c>
      <c r="C21" s="3" t="s">
        <v>599</v>
      </c>
      <c r="D21" s="3"/>
    </row>
    <row r="22" customFormat="false" ht="15" hidden="false" customHeight="true" outlineLevel="0" collapsed="false">
      <c r="A22" s="3" t="s">
        <v>145</v>
      </c>
      <c r="B22" s="3" t="s">
        <v>600</v>
      </c>
      <c r="C22" s="3" t="s">
        <v>601</v>
      </c>
      <c r="D22" s="3"/>
    </row>
    <row r="23" customFormat="false" ht="15" hidden="false" customHeight="true" outlineLevel="0" collapsed="false">
      <c r="A23" s="3"/>
      <c r="B23" s="3"/>
      <c r="C23" s="3"/>
      <c r="D23" s="3"/>
    </row>
    <row r="24" customFormat="false" ht="15" hidden="false" customHeight="true" outlineLevel="0" collapsed="false">
      <c r="A24" s="5" t="s">
        <v>602</v>
      </c>
      <c r="B24" s="3"/>
      <c r="C24" s="3"/>
      <c r="D24" s="3"/>
    </row>
    <row r="25" customFormat="false" ht="15" hidden="false" customHeight="true" outlineLevel="0" collapsed="false">
      <c r="A25" s="10" t="s">
        <v>603</v>
      </c>
      <c r="B25" s="10" t="s">
        <v>604</v>
      </c>
      <c r="C25" s="10" t="s">
        <v>605</v>
      </c>
      <c r="D25" s="10"/>
    </row>
    <row r="26" customFormat="false" ht="15" hidden="false" customHeight="true" outlineLevel="0" collapsed="false">
      <c r="A26" s="3" t="s">
        <v>606</v>
      </c>
      <c r="B26" s="3" t="s">
        <v>607</v>
      </c>
      <c r="C26" s="3" t="s">
        <v>66</v>
      </c>
      <c r="D26" s="3"/>
    </row>
    <row r="27" customFormat="false" ht="15" hidden="false" customHeight="true" outlineLevel="0" collapsed="false">
      <c r="A27" s="3" t="s">
        <v>608</v>
      </c>
      <c r="B27" s="3" t="s">
        <v>607</v>
      </c>
      <c r="C27" s="3" t="s">
        <v>68</v>
      </c>
      <c r="D27" s="3"/>
    </row>
    <row r="28" customFormat="false" ht="15" hidden="false" customHeight="true" outlineLevel="0" collapsed="false">
      <c r="A28" s="3" t="s">
        <v>609</v>
      </c>
      <c r="B28" s="3" t="s">
        <v>610</v>
      </c>
      <c r="C28" s="3" t="s">
        <v>71</v>
      </c>
      <c r="D28" s="3"/>
    </row>
    <row r="29" customFormat="false" ht="15" hidden="false" customHeight="true" outlineLevel="0" collapsed="false">
      <c r="A29" s="3"/>
      <c r="B29" s="3"/>
      <c r="C29" s="3"/>
      <c r="D29" s="3"/>
    </row>
    <row r="30" customFormat="false" ht="15" hidden="false" customHeight="true" outlineLevel="0" collapsed="false">
      <c r="A30" s="5" t="s">
        <v>611</v>
      </c>
      <c r="B30" s="3"/>
      <c r="C30" s="3"/>
      <c r="D30" s="3"/>
    </row>
    <row r="31" customFormat="false" ht="15" hidden="false" customHeight="true" outlineLevel="0" collapsed="false">
      <c r="A31" s="3" t="s">
        <v>612</v>
      </c>
      <c r="B31" s="3"/>
      <c r="C31" s="3"/>
      <c r="D31" s="3"/>
    </row>
    <row r="32" customFormat="false" ht="15" hidden="false" customHeight="true" outlineLevel="0" collapsed="false">
      <c r="A32" s="3" t="s">
        <v>613</v>
      </c>
      <c r="B32" s="3"/>
      <c r="C32" s="3"/>
      <c r="D32" s="3"/>
    </row>
    <row r="33" customFormat="false" ht="15" hidden="false" customHeight="true" outlineLevel="0" collapsed="false">
      <c r="A33" s="3" t="s">
        <v>614</v>
      </c>
      <c r="B33" s="3"/>
      <c r="C33" s="3"/>
      <c r="D33" s="3"/>
    </row>
    <row r="34" customFormat="false" ht="15" hidden="false" customHeight="true" outlineLevel="0" collapsed="false">
      <c r="A34" s="3" t="s">
        <v>615</v>
      </c>
      <c r="B34" s="3"/>
      <c r="C34" s="3"/>
      <c r="D34" s="3"/>
    </row>
    <row r="35" customFormat="false" ht="15" hidden="false" customHeight="true" outlineLevel="0" collapsed="false">
      <c r="A35" s="3" t="s">
        <v>616</v>
      </c>
      <c r="B35" s="3"/>
      <c r="C35" s="3"/>
      <c r="D35" s="3"/>
    </row>
    <row r="36" customFormat="false" ht="15" hidden="false" customHeight="true" outlineLevel="0" collapsed="false">
      <c r="A36" s="3" t="s">
        <v>617</v>
      </c>
      <c r="B36" s="3"/>
      <c r="C36" s="3"/>
      <c r="D36" s="3"/>
    </row>
    <row r="37" customFormat="false" ht="15" hidden="false" customHeight="true" outlineLevel="0" collapsed="false">
      <c r="A37" s="3" t="s">
        <v>618</v>
      </c>
      <c r="B37" s="3"/>
      <c r="C37" s="3"/>
      <c r="D37" s="3"/>
    </row>
    <row r="38" customFormat="false" ht="15" hidden="false" customHeight="true" outlineLevel="0" collapsed="false">
      <c r="A38" s="3" t="s">
        <v>619</v>
      </c>
      <c r="B38" s="3"/>
      <c r="C38" s="3"/>
      <c r="D38" s="3"/>
    </row>
    <row r="39" customFormat="false" ht="15" hidden="false" customHeight="true" outlineLevel="0" collapsed="false">
      <c r="A39" s="3" t="s">
        <v>620</v>
      </c>
      <c r="B39" s="3"/>
      <c r="C39" s="3"/>
      <c r="D39" s="3"/>
    </row>
    <row r="40" customFormat="false" ht="15" hidden="false" customHeight="true" outlineLevel="0" collapsed="false">
      <c r="A40" s="3" t="s">
        <v>621</v>
      </c>
      <c r="B40" s="3"/>
      <c r="C40" s="3"/>
      <c r="D40" s="3"/>
    </row>
    <row r="41" customFormat="false" ht="15" hidden="false" customHeight="true" outlineLevel="0" collapsed="false">
      <c r="A41" s="3" t="s">
        <v>622</v>
      </c>
      <c r="B41" s="3"/>
      <c r="C41" s="3"/>
      <c r="D41" s="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0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9" t="s">
        <v>623</v>
      </c>
      <c r="B1" s="9"/>
      <c r="C1" s="9"/>
    </row>
    <row r="2" customFormat="false" ht="15" hidden="false" customHeight="true" outlineLevel="0" collapsed="false">
      <c r="A2" s="3"/>
      <c r="B2" s="3"/>
      <c r="C2" s="3"/>
    </row>
    <row r="3" customFormat="false" ht="15" hidden="false" customHeight="true" outlineLevel="0" collapsed="false">
      <c r="A3" s="5" t="s">
        <v>624</v>
      </c>
      <c r="B3" s="3"/>
      <c r="C3" s="3"/>
    </row>
    <row r="4" customFormat="false" ht="15" hidden="false" customHeight="true" outlineLevel="0" collapsed="false">
      <c r="A4" s="10" t="s">
        <v>625</v>
      </c>
      <c r="B4" s="10" t="s">
        <v>626</v>
      </c>
      <c r="C4" s="10" t="s">
        <v>627</v>
      </c>
    </row>
    <row r="5" customFormat="false" ht="15" hidden="false" customHeight="true" outlineLevel="0" collapsed="false">
      <c r="A5" s="3" t="s">
        <v>628</v>
      </c>
      <c r="B5" s="3" t="s">
        <v>629</v>
      </c>
      <c r="C5" s="3" t="s">
        <v>630</v>
      </c>
    </row>
    <row r="6" customFormat="false" ht="15" hidden="false" customHeight="true" outlineLevel="0" collapsed="false">
      <c r="A6" s="3" t="s">
        <v>631</v>
      </c>
      <c r="B6" s="3" t="s">
        <v>632</v>
      </c>
      <c r="C6" s="3" t="s">
        <v>633</v>
      </c>
    </row>
    <row r="7" customFormat="false" ht="15" hidden="false" customHeight="true" outlineLevel="0" collapsed="false">
      <c r="A7" s="3" t="s">
        <v>634</v>
      </c>
      <c r="B7" s="3" t="s">
        <v>635</v>
      </c>
      <c r="C7" s="3" t="s">
        <v>636</v>
      </c>
    </row>
    <row r="8" customFormat="false" ht="15" hidden="false" customHeight="true" outlineLevel="0" collapsed="false">
      <c r="A8" s="3" t="s">
        <v>637</v>
      </c>
      <c r="B8" s="3" t="s">
        <v>638</v>
      </c>
      <c r="C8" s="3" t="s">
        <v>639</v>
      </c>
    </row>
    <row r="9" customFormat="false" ht="15" hidden="false" customHeight="true" outlineLevel="0" collapsed="false">
      <c r="A9" s="3"/>
      <c r="B9" s="3"/>
      <c r="C9" s="3"/>
    </row>
    <row r="10" customFormat="false" ht="15" hidden="false" customHeight="true" outlineLevel="0" collapsed="false">
      <c r="A10" s="5" t="s">
        <v>640</v>
      </c>
      <c r="B10" s="3"/>
      <c r="C10" s="3"/>
    </row>
    <row r="11" customFormat="false" ht="15" hidden="false" customHeight="true" outlineLevel="0" collapsed="false">
      <c r="A11" s="10" t="s">
        <v>641</v>
      </c>
      <c r="B11" s="10" t="s">
        <v>560</v>
      </c>
      <c r="C11" s="10"/>
    </row>
    <row r="12" customFormat="false" ht="15" hidden="false" customHeight="true" outlineLevel="0" collapsed="false">
      <c r="A12" s="3" t="s">
        <v>642</v>
      </c>
      <c r="B12" s="3" t="s">
        <v>643</v>
      </c>
      <c r="C12" s="3"/>
    </row>
    <row r="13" customFormat="false" ht="15" hidden="false" customHeight="true" outlineLevel="0" collapsed="false">
      <c r="A13" s="3" t="s">
        <v>644</v>
      </c>
      <c r="B13" s="3" t="s">
        <v>645</v>
      </c>
      <c r="C13" s="3"/>
    </row>
    <row r="14" customFormat="false" ht="15" hidden="false" customHeight="true" outlineLevel="0" collapsed="false">
      <c r="A14" s="3"/>
      <c r="B14" s="3"/>
      <c r="C14" s="3"/>
    </row>
    <row r="15" customFormat="false" ht="15" hidden="false" customHeight="true" outlineLevel="0" collapsed="false">
      <c r="A15" s="10" t="s">
        <v>646</v>
      </c>
      <c r="B15" s="10"/>
      <c r="C15" s="10"/>
    </row>
    <row r="16" customFormat="false" ht="15" hidden="false" customHeight="true" outlineLevel="0" collapsed="false">
      <c r="A16" s="3" t="s">
        <v>641</v>
      </c>
      <c r="B16" s="3" t="s">
        <v>560</v>
      </c>
      <c r="C16" s="3"/>
    </row>
    <row r="17" customFormat="false" ht="15" hidden="false" customHeight="true" outlineLevel="0" collapsed="false">
      <c r="A17" s="3" t="s">
        <v>647</v>
      </c>
      <c r="B17" s="3" t="s">
        <v>648</v>
      </c>
      <c r="C17" s="3"/>
    </row>
    <row r="18" customFormat="false" ht="15" hidden="false" customHeight="true" outlineLevel="0" collapsed="false">
      <c r="A18" s="10"/>
      <c r="B18" s="10"/>
      <c r="C18" s="10"/>
    </row>
    <row r="19" customFormat="false" ht="15" hidden="false" customHeight="true" outlineLevel="0" collapsed="false">
      <c r="A19" s="5" t="s">
        <v>649</v>
      </c>
      <c r="B19" s="3"/>
      <c r="C19" s="3"/>
    </row>
    <row r="20" customFormat="false" ht="15" hidden="false" customHeight="true" outlineLevel="0" collapsed="false">
      <c r="A20" s="3" t="s">
        <v>650</v>
      </c>
      <c r="B20" s="3" t="s">
        <v>651</v>
      </c>
      <c r="C20" s="3"/>
    </row>
    <row r="21" customFormat="false" ht="15" hidden="false" customHeight="true" outlineLevel="0" collapsed="false">
      <c r="A21" s="3" t="s">
        <v>652</v>
      </c>
      <c r="B21" s="3" t="s">
        <v>653</v>
      </c>
      <c r="C21" s="3"/>
    </row>
    <row r="22" customFormat="false" ht="15" hidden="false" customHeight="true" outlineLevel="0" collapsed="false">
      <c r="A22" s="3" t="s">
        <v>654</v>
      </c>
      <c r="B22" s="3" t="s">
        <v>655</v>
      </c>
      <c r="C22" s="3"/>
    </row>
    <row r="23" customFormat="false" ht="15" hidden="false" customHeight="true" outlineLevel="0" collapsed="false">
      <c r="A23" s="3" t="s">
        <v>656</v>
      </c>
      <c r="B23" s="3" t="s">
        <v>570</v>
      </c>
      <c r="C23" s="3"/>
    </row>
    <row r="24" customFormat="false" ht="15" hidden="false" customHeight="true" outlineLevel="0" collapsed="false">
      <c r="A24" s="3" t="s">
        <v>657</v>
      </c>
      <c r="B24" s="3" t="s">
        <v>573</v>
      </c>
      <c r="C24" s="3"/>
    </row>
    <row r="25" customFormat="false" ht="15" hidden="false" customHeight="true" outlineLevel="0" collapsed="false">
      <c r="A25" s="3" t="s">
        <v>658</v>
      </c>
      <c r="B25" s="3" t="s">
        <v>576</v>
      </c>
      <c r="C25" s="3"/>
    </row>
    <row r="26" customFormat="false" ht="15" hidden="false" customHeight="true" outlineLevel="0" collapsed="false">
      <c r="A26" s="3" t="s">
        <v>659</v>
      </c>
      <c r="B26" s="3" t="s">
        <v>564</v>
      </c>
      <c r="C26" s="3"/>
    </row>
    <row r="27" customFormat="false" ht="15" hidden="false" customHeight="true" outlineLevel="0" collapsed="false">
      <c r="A27" s="3" t="s">
        <v>660</v>
      </c>
      <c r="B27" s="3" t="s">
        <v>567</v>
      </c>
      <c r="C27" s="3"/>
    </row>
    <row r="28" customFormat="false" ht="15" hidden="false" customHeight="true" outlineLevel="0" collapsed="false">
      <c r="A28" s="3" t="s">
        <v>661</v>
      </c>
      <c r="B28" s="3" t="s">
        <v>579</v>
      </c>
      <c r="C28" s="3"/>
    </row>
    <row r="29" customFormat="false" ht="15" hidden="false" customHeight="true" outlineLevel="0" collapsed="false">
      <c r="A29" s="3" t="s">
        <v>662</v>
      </c>
      <c r="B29" s="3" t="s">
        <v>582</v>
      </c>
      <c r="C29" s="3"/>
    </row>
    <row r="30" customFormat="false" ht="15" hidden="false" customHeight="true" outlineLevel="0" collapsed="false">
      <c r="A30" s="10"/>
      <c r="B30" s="10"/>
      <c r="C30" s="10"/>
    </row>
    <row r="31" customFormat="false" ht="15" hidden="false" customHeight="true" outlineLevel="0" collapsed="false">
      <c r="A31" s="5" t="s">
        <v>663</v>
      </c>
      <c r="B31" s="3"/>
      <c r="C31" s="3"/>
    </row>
    <row r="32" customFormat="false" ht="15" hidden="false" customHeight="true" outlineLevel="0" collapsed="false">
      <c r="A32" s="3" t="s">
        <v>641</v>
      </c>
      <c r="B32" s="3" t="s">
        <v>560</v>
      </c>
      <c r="C32" s="3"/>
    </row>
    <row r="33" customFormat="false" ht="15" hidden="false" customHeight="true" outlineLevel="0" collapsed="false">
      <c r="A33" s="10" t="s">
        <v>664</v>
      </c>
      <c r="B33" s="10" t="s">
        <v>665</v>
      </c>
      <c r="C33" s="10"/>
    </row>
    <row r="34" customFormat="false" ht="15" hidden="false" customHeight="true" outlineLevel="0" collapsed="false">
      <c r="A34" s="3"/>
      <c r="B34" s="3"/>
      <c r="C34" s="3"/>
    </row>
    <row r="35" customFormat="false" ht="15" hidden="false" customHeight="true" outlineLevel="0" collapsed="false">
      <c r="A35" s="5" t="s">
        <v>666</v>
      </c>
      <c r="B35" s="3"/>
      <c r="C35" s="3"/>
    </row>
    <row r="36" customFormat="false" ht="15" hidden="false" customHeight="true" outlineLevel="0" collapsed="false">
      <c r="A36" s="3" t="s">
        <v>641</v>
      </c>
      <c r="B36" s="3" t="s">
        <v>560</v>
      </c>
      <c r="C36" s="3"/>
    </row>
    <row r="37" customFormat="false" ht="27.75" hidden="false" customHeight="true" outlineLevel="0" collapsed="false">
      <c r="A37" s="10" t="s">
        <v>667</v>
      </c>
      <c r="B37" s="10" t="s">
        <v>668</v>
      </c>
      <c r="C37" s="10"/>
    </row>
    <row r="38" customFormat="false" ht="15" hidden="false" customHeight="true" outlineLevel="0" collapsed="false">
      <c r="A38" s="3" t="s">
        <v>669</v>
      </c>
      <c r="B38" s="3" t="s">
        <v>670</v>
      </c>
      <c r="C38" s="3"/>
    </row>
    <row r="39" customFormat="false" ht="15" hidden="false" customHeight="true" outlineLevel="0" collapsed="false">
      <c r="A39" s="3"/>
      <c r="B39" s="3"/>
      <c r="C39" s="3"/>
    </row>
    <row r="40" customFormat="false" ht="15" hidden="false" customHeight="true" outlineLevel="0" collapsed="false">
      <c r="A40" s="5" t="s">
        <v>671</v>
      </c>
      <c r="B40" s="3"/>
      <c r="C40" s="3"/>
    </row>
    <row r="41" customFormat="false" ht="15" hidden="false" customHeight="true" outlineLevel="0" collapsed="false">
      <c r="A41" s="3" t="s">
        <v>641</v>
      </c>
      <c r="B41" s="3" t="s">
        <v>672</v>
      </c>
      <c r="C41" s="3"/>
    </row>
    <row r="42" customFormat="false" ht="15" hidden="false" customHeight="true" outlineLevel="0" collapsed="false">
      <c r="A42" s="3" t="s">
        <v>673</v>
      </c>
      <c r="B42" s="3" t="s">
        <v>674</v>
      </c>
      <c r="C42" s="3"/>
    </row>
    <row r="43" customFormat="false" ht="15" hidden="false" customHeight="true" outlineLevel="0" collapsed="false">
      <c r="A43" s="3" t="s">
        <v>675</v>
      </c>
      <c r="B43" s="3" t="s">
        <v>676</v>
      </c>
      <c r="C43" s="3"/>
    </row>
    <row r="44" customFormat="false" ht="15" hidden="false" customHeight="true" outlineLevel="0" collapsed="false">
      <c r="A44" s="10" t="s">
        <v>677</v>
      </c>
      <c r="B44" s="10" t="s">
        <v>678</v>
      </c>
      <c r="C44" s="10"/>
    </row>
    <row r="45" customFormat="false" ht="15" hidden="false" customHeight="true" outlineLevel="0" collapsed="false">
      <c r="A45" s="3"/>
      <c r="B45" s="3"/>
      <c r="C45" s="3"/>
    </row>
    <row r="46" customFormat="false" ht="15" hidden="false" customHeight="true" outlineLevel="0" collapsed="false">
      <c r="A46" s="5" t="s">
        <v>679</v>
      </c>
      <c r="B46" s="3"/>
      <c r="C46" s="3"/>
    </row>
    <row r="47" customFormat="false" ht="15" hidden="false" customHeight="true" outlineLevel="0" collapsed="false">
      <c r="A47" s="3" t="s">
        <v>680</v>
      </c>
      <c r="B47" s="3" t="s">
        <v>681</v>
      </c>
      <c r="C47" s="3"/>
    </row>
    <row r="48" customFormat="false" ht="15" hidden="false" customHeight="true" outlineLevel="0" collapsed="false">
      <c r="A48" s="3" t="s">
        <v>682</v>
      </c>
      <c r="B48" s="3" t="s">
        <v>683</v>
      </c>
      <c r="C48" s="3"/>
    </row>
    <row r="49" customFormat="false" ht="15" hidden="false" customHeight="true" outlineLevel="0" collapsed="false">
      <c r="A49" s="3" t="s">
        <v>684</v>
      </c>
      <c r="B49" s="3" t="s">
        <v>685</v>
      </c>
      <c r="C49" s="3"/>
    </row>
    <row r="50" customFormat="false" ht="15" hidden="false" customHeight="true" outlineLevel="0" collapsed="false">
      <c r="A50" s="3" t="s">
        <v>686</v>
      </c>
      <c r="B50" s="3" t="s">
        <v>687</v>
      </c>
      <c r="C50" s="3"/>
    </row>
    <row r="51" customFormat="false" ht="15" hidden="false" customHeight="true" outlineLevel="0" collapsed="false">
      <c r="A51" s="3" t="s">
        <v>688</v>
      </c>
      <c r="B51" s="3" t="s">
        <v>664</v>
      </c>
      <c r="C51" s="3"/>
    </row>
    <row r="52" customFormat="false" ht="15" hidden="false" customHeight="true" outlineLevel="0" collapsed="false">
      <c r="A52" s="3" t="s">
        <v>689</v>
      </c>
      <c r="B52" s="3" t="s">
        <v>690</v>
      </c>
      <c r="C52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2026-02-26T10:53:50Z</dcterms:created>
  <dc:creator>openpyxl</dc:creator>
  <dc:description/>
  <dc:language>en-US</dc:language>
  <cp:lastModifiedBy/>
  <dcterms:modified xsi:type="dcterms:W3CDTF">2026-02-26T10:54:13Z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