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_WIZARD" sheetId="1" state="visible" r:id="rId3"/>
    <sheet name="COMPETITIVE_ANALYSIS" sheetId="2" state="visible" r:id="rId4"/>
    <sheet name="DOMAIN_TAXONOMY" sheetId="3" state="visible" r:id="rId5"/>
    <sheet name="PROMPT_SCORING" sheetId="4" state="visible" r:id="rId6"/>
    <sheet name="FRAMEWORK_MATRIX" sheetId="5" state="visible" r:id="rId7"/>
    <sheet name="ROADBLOCK_DATABASE" sheetId="6" state="visible" r:id="rId8"/>
    <sheet name="PROMPT_LIBRARY" sheetId="7" state="visible" r:id="rId9"/>
    <sheet name="VS_ALLOCATOR" sheetId="8" state="visible" r:id="rId10"/>
    <sheet name="GOALS_REFERENCE" sheetId="9" state="visible" r:id="rId11"/>
    <sheet name="EXECUTION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<sst xmlns="http://schemas.openxmlformats.org/spreadsheetml/2006/main" count="548" uniqueCount="349">
  <si>
    <t xml:space="preserve">PROMPT ENGINEERING WIZARD v2.0 - Score Before You Execute</t>
  </si>
  <si>
    <t xml:space="preserve">STEP 1: SELECT DOMAIN &amp; SUBDOMAIN</t>
  </si>
  <si>
    <t xml:space="preserve">Domain:</t>
  </si>
  <si>
    <t xml:space="preserve">Subdomain:</t>
  </si>
  <si>
    <t xml:space="preserve">STEP 2: SELECT GOAL ALIGNMENT</t>
  </si>
  <si>
    <t xml:space="preserve">Primary Goal:</t>
  </si>
  <si>
    <t xml:space="preserve">Secondary Goal:</t>
  </si>
  <si>
    <t xml:space="preserve">STEP 3: SELECT REASONING FRAMEWORK</t>
  </si>
  <si>
    <t xml:space="preserve">Framework:</t>
  </si>
  <si>
    <t xml:space="preserve">Complexity:</t>
  </si>
  <si>
    <t xml:space="preserve">STEP 4: TIME BLOCK &amp; RISK ZONE</t>
  </si>
  <si>
    <t xml:space="preserve">Time Block:</t>
  </si>
  <si>
    <t xml:space="preserve">Zone:</t>
  </si>
  <si>
    <t xml:space="preserve">STEP 5: PROMPT COMPONENTS (Fill Each)</t>
  </si>
  <si>
    <t xml:space="preserve">ROLE/PERSONA:</t>
  </si>
  <si>
    <t xml:space="preserve">INTENT:</t>
  </si>
  <si>
    <t xml:space="preserve">DEMAND:</t>
  </si>
  <si>
    <t xml:space="preserve">KNOWLEDGE:</t>
  </si>
  <si>
    <t xml:space="preserve">OUTPUT FORMAT:</t>
  </si>
  <si>
    <t xml:space="preserve">CONSTRAINTS:</t>
  </si>
  <si>
    <t xml:space="preserve">STEP 6: ASSUMPTIONS &amp; ROADBLOCK PRE-MORTEM</t>
  </si>
  <si>
    <t xml:space="preserve">Assumption 1:</t>
  </si>
  <si>
    <t xml:space="preserve">Verified?</t>
  </si>
  <si>
    <t xml:space="preserve">Assumption 2:</t>
  </si>
  <si>
    <t xml:space="preserve">Assumption 3:</t>
  </si>
  <si>
    <t xml:space="preserve">Roadblock 1:</t>
  </si>
  <si>
    <t xml:space="preserve">Mitigation:</t>
  </si>
  <si>
    <t xml:space="preserve">Roadblock 2:</t>
  </si>
  <si>
    <t xml:space="preserve">STEP 7: PRE-EXECUTION SCORE (Auto-Calculated)</t>
  </si>
  <si>
    <t xml:space="preserve">Goal Alignment (x2):</t>
  </si>
  <si>
    <t xml:space="preserve">(Weight: 2.0x)</t>
  </si>
  <si>
    <t xml:space="preserve">Intent Clarity (x1.5):</t>
  </si>
  <si>
    <t xml:space="preserve">(Weight: 1.5x)</t>
  </si>
  <si>
    <t xml:space="preserve">Domain Fit (x1):</t>
  </si>
  <si>
    <t xml:space="preserve">(Weight: 1.0x)</t>
  </si>
  <si>
    <t xml:space="preserve">Demand Precision (x1.5):</t>
  </si>
  <si>
    <t xml:space="preserve">Assumption Load (x1):</t>
  </si>
  <si>
    <t xml:space="preserve">Framework Fit (x1):</t>
  </si>
  <si>
    <t xml:space="preserve">Output Format (x1):</t>
  </si>
  <si>
    <t xml:space="preserve">Time Block Fit (x1.5):</t>
  </si>
  <si>
    <t xml:space="preserve">Zone Compliance (x1.5):</t>
  </si>
  <si>
    <t xml:space="preserve">Leverage Factor (x1):</t>
  </si>
  <si>
    <t xml:space="preserve">TOTAL SCORE:</t>
  </si>
  <si>
    <t xml:space="preserve">MAX: 130 | GATES: &lt;65 REJECT | 65-95 REFINE | 95-115 EXECUTE | 115+ SHIP</t>
  </si>
  <si>
    <t xml:space="preserve">STEP 8: GENERATED PROMPT (Copy &amp; Use)</t>
  </si>
  <si>
    <t xml:space="preserve">[PROMPT WILL BE ASSEMBLED HERE BASED ON INPUTS ABOVE]</t>
  </si>
  <si>
    <t xml:space="preserve">COMPETITIVE ANALYSIS: PROMPT ENGINEERING TOOLS (Feb 2026)</t>
  </si>
  <si>
    <t xml:space="preserve">Feature</t>
  </si>
  <si>
    <t xml:space="preserve">MS PromptWizard</t>
  </si>
  <si>
    <t xml:space="preserve">Juma/TeamGPT</t>
  </si>
  <si>
    <t xml:space="preserve">DeepEval</t>
  </si>
  <si>
    <t xml:space="preserve">Promptfoo</t>
  </si>
  <si>
    <t xml:space="preserve">Helicone</t>
  </si>
  <si>
    <t xml:space="preserve">Braintrust</t>
  </si>
  <si>
    <t xml:space="preserve">OURS</t>
  </si>
  <si>
    <t xml:space="preserve">ADVANTAGE</t>
  </si>
  <si>
    <t xml:space="preserve">Pre-Execution Scoring</t>
  </si>
  <si>
    <t xml:space="preserve">NO</t>
  </si>
  <si>
    <t xml:space="preserve">YES</t>
  </si>
  <si>
    <t xml:space="preserve">UNIQUE</t>
  </si>
  <si>
    <t xml:space="preserve">Life Goal Integration</t>
  </si>
  <si>
    <t xml:space="preserve">Domain Assumptions</t>
  </si>
  <si>
    <t xml:space="preserve">Zone-Based Risk Gates</t>
  </si>
  <si>
    <t xml:space="preserve">Time Block Integration</t>
  </si>
  <si>
    <t xml:space="preserve">Roadblock Pre-Mortem</t>
  </si>
  <si>
    <t xml:space="preserve">Framework Auto-Select</t>
  </si>
  <si>
    <t xml:space="preserve">PARTIAL</t>
  </si>
  <si>
    <t xml:space="preserve">SUPERIOR</t>
  </si>
  <si>
    <t xml:space="preserve">VS Protocol</t>
  </si>
  <si>
    <t xml:space="preserve">Post-Execution Eval</t>
  </si>
  <si>
    <t xml:space="preserve">PARITY</t>
  </si>
  <si>
    <t xml:space="preserve">Iteration Loop</t>
  </si>
  <si>
    <t xml:space="preserve">CI/CD Integration</t>
  </si>
  <si>
    <t xml:space="preserve">PLANNED</t>
  </si>
  <si>
    <t xml:space="preserve">-</t>
  </si>
  <si>
    <t xml:space="preserve">LLM-as-Judge</t>
  </si>
  <si>
    <t xml:space="preserve">DIFFERENTIATION SCORE:</t>
  </si>
  <si>
    <t xml:space="preserve">7 UNIQUE features vs 0-1 for competitors</t>
  </si>
  <si>
    <t xml:space="preserve">DOMAIN</t>
  </si>
  <si>
    <t xml:space="preserve">SUBDOMAIN</t>
  </si>
  <si>
    <t xml:space="preserve">ASSUMPTIONS</t>
  </si>
  <si>
    <t xml:space="preserve">OBSERVATIONS</t>
  </si>
  <si>
    <t xml:space="preserve">PROMPT_STRUCTURE</t>
  </si>
  <si>
    <t xml:space="preserve">KNOWLEDGE_SOURCE</t>
  </si>
  <si>
    <t xml:space="preserve">RISK</t>
  </si>
  <si>
    <t xml:space="preserve">GOAL_FIT</t>
  </si>
  <si>
    <t xml:space="preserve">LEGAL</t>
  </si>
  <si>
    <t xml:space="preserve">Litigation</t>
  </si>
  <si>
    <t xml:space="preserve">Court deadlines; Opposing counsel competent; Precedent applies</t>
  </si>
  <si>
    <t xml:space="preserve">Federal cases need heightened scrutiny; Evidence rules vary</t>
  </si>
  <si>
    <t xml:space="preserve">Role: Legal analyst | MECE + IRAC | Issue-Rule-Application-Conclusion</t>
  </si>
  <si>
    <t xml:space="preserve">CourtListener, Westlaw, Case files</t>
  </si>
  <si>
    <t xml:space="preserve">RED</t>
  </si>
  <si>
    <t xml:space="preserve">G1,G2,G3</t>
  </si>
  <si>
    <t xml:space="preserve">Contract</t>
  </si>
  <si>
    <t xml:space="preserve">Parties have capacity; Terms enforceable; Consideration exists</t>
  </si>
  <si>
    <t xml:space="preserve">Ambiguity favors drafter; Integration clauses matter</t>
  </si>
  <si>
    <t xml:space="preserve">Role: Contract analyst | Clause extraction | Provision-Implication-Risk</t>
  </si>
  <si>
    <t xml:space="preserve">Contract database, Precedent library</t>
  </si>
  <si>
    <t xml:space="preserve">YELLOW</t>
  </si>
  <si>
    <t xml:space="preserve">G2</t>
  </si>
  <si>
    <t xml:space="preserve">Custody</t>
  </si>
  <si>
    <t xml:space="preserve">Best interest standard; Both parties have rights; Court discretion</t>
  </si>
  <si>
    <t xml:space="preserve">Emotional factors influence; Mediation preferred</t>
  </si>
  <si>
    <t xml:space="preserve">Role: Family law specialist | Factor analysis | Factor-Evidence-Weight</t>
  </si>
  <si>
    <t xml:space="preserve">State statutes, Local rules</t>
  </si>
  <si>
    <t xml:space="preserve">G3</t>
  </si>
  <si>
    <t xml:space="preserve">BUSINESS</t>
  </si>
  <si>
    <t xml:space="preserve">Revenue</t>
  </si>
  <si>
    <t xml:space="preserve">Market exists; Customer has budget; PMF achievable</t>
  </si>
  <si>
    <t xml:space="preserve">CAC/LTV varies by channel; Churn impacts growth</t>
  </si>
  <si>
    <t xml:space="preserve">Role: Revenue strategist | JTBD | Segment-Need-Solution-Price</t>
  </si>
  <si>
    <t xml:space="preserve">Market research, CRM data</t>
  </si>
  <si>
    <t xml:space="preserve">GREEN</t>
  </si>
  <si>
    <t xml:space="preserve">G5</t>
  </si>
  <si>
    <t xml:space="preserve">Strategy</t>
  </si>
  <si>
    <t xml:space="preserve">Competitive landscape known; Resources finite; Time matters</t>
  </si>
  <si>
    <t xml:space="preserve">First-mover advantage varies; Disruption constant</t>
  </si>
  <si>
    <t xml:space="preserve">Role: Strategy consultant | Wardley | Position-Move-Outcome</t>
  </si>
  <si>
    <t xml:space="preserve">Industry reports, Competitor data</t>
  </si>
  <si>
    <t xml:space="preserve">TECHNICAL</t>
  </si>
  <si>
    <t xml:space="preserve">Code_Gen</t>
  </si>
  <si>
    <t xml:space="preserve">Requirements clear; Stack chosen; Tests needed</t>
  </si>
  <si>
    <t xml:space="preserve">Edge cases break systems; Tech debt compounds</t>
  </si>
  <si>
    <t xml:space="preserve">Role: Senior engineer | Implementation | Input-Process-Output-Tests</t>
  </si>
  <si>
    <t xml:space="preserve">Docs, Stack Overflow, GitHub</t>
  </si>
  <si>
    <t xml:space="preserve">Debug</t>
  </si>
  <si>
    <t xml:space="preserve">Error reproducible; Logs exist; Root cause findable</t>
  </si>
  <si>
    <t xml:space="preserve">Heisenbugs exist; Environment matters</t>
  </si>
  <si>
    <t xml:space="preserve">Role: Debugger | 5 Whys | Symptom-Hypothesis-Test-Fix</t>
  </si>
  <si>
    <t xml:space="preserve">Logs, Stack traces, Monitoring</t>
  </si>
  <si>
    <t xml:space="preserve">FAMILY</t>
  </si>
  <si>
    <t xml:space="preserve">Relationships</t>
  </si>
  <si>
    <t xml:space="preserve">Communication possible; Goodwill exists; Change wanted</t>
  </si>
  <si>
    <t xml:space="preserve">Emotions override logic; History matters</t>
  </si>
  <si>
    <t xml:space="preserve">Role: Advisor | Perspective taking | Situation-Feeling-Need-Request</t>
  </si>
  <si>
    <t xml:space="preserve">Context from user</t>
  </si>
  <si>
    <t xml:space="preserve">G4</t>
  </si>
  <si>
    <t xml:space="preserve">RESEARCH</t>
  </si>
  <si>
    <t xml:space="preserve">Analysis</t>
  </si>
  <si>
    <t xml:space="preserve">Data clean; Methods appropriate; Results interpretable</t>
  </si>
  <si>
    <t xml:space="preserve">Correlation not causation; P-hacking real</t>
  </si>
  <si>
    <t xml:space="preserve">Role: Data scientist | Analysis | Question-Method-Finding-Limitation</t>
  </si>
  <si>
    <t xml:space="preserve">Datasets, Statistical tools</t>
  </si>
  <si>
    <t xml:space="preserve">DIMENSION</t>
  </si>
  <si>
    <t xml:space="preserve">DESCRIPTION</t>
  </si>
  <si>
    <t xml:space="preserve">SCORING_CRITERIA</t>
  </si>
  <si>
    <t xml:space="preserve">WEIGHT</t>
  </si>
  <si>
    <t xml:space="preserve">YOUR_SCORE</t>
  </si>
  <si>
    <t xml:space="preserve">WEIGHTED</t>
  </si>
  <si>
    <t xml:space="preserve">1. Goal Alignment</t>
  </si>
  <si>
    <t xml:space="preserve">Does prompt advance G1-G5?</t>
  </si>
  <si>
    <t xml:space="preserve">10=Direct, 5=Tangential, 1=None</t>
  </si>
  <si>
    <t xml:space="preserve">2. Intent Clarity</t>
  </si>
  <si>
    <t xml:space="preserve">Is task objective explicit?</t>
  </si>
  <si>
    <t xml:space="preserve">10=Crystal clear, 5=Ambiguous, 1=Undefined</t>
  </si>
  <si>
    <t xml:space="preserve">3. Domain Fit</t>
  </si>
  <si>
    <t xml:space="preserve">Is knowledge domain defined?</t>
  </si>
  <si>
    <t xml:space="preserve">10=Expert-level, 5=General, 1=Wrong</t>
  </si>
  <si>
    <t xml:space="preserve">4. Demand Precision</t>
  </si>
  <si>
    <t xml:space="preserve">Are requirements specific?</t>
  </si>
  <si>
    <t xml:space="preserve">10=Measurable, 5=Vague, 1=Open-ended</t>
  </si>
  <si>
    <t xml:space="preserve">5. Assumption Load</t>
  </si>
  <si>
    <t xml:space="preserve">How many unverified?</t>
  </si>
  <si>
    <t xml:space="preserve">10=0 assumptions, 5=1-2, 1=3+</t>
  </si>
  <si>
    <t xml:space="preserve">6. Framework Fit</t>
  </si>
  <si>
    <t xml:space="preserve">Right reasoning framework?</t>
  </si>
  <si>
    <t xml:space="preserve">10=Perfect, 5=Partial, 1=Mismatch</t>
  </si>
  <si>
    <t xml:space="preserve">7. Output Format</t>
  </si>
  <si>
    <t xml:space="preserve">Is deliverable defined?</t>
  </si>
  <si>
    <t xml:space="preserve">10=Template, 5=General, 1=Undefined</t>
  </si>
  <si>
    <t xml:space="preserve">8. Time Block Fit</t>
  </si>
  <si>
    <t xml:space="preserve">Achievable in time?</t>
  </si>
  <si>
    <t xml:space="preserve">10=Perfect, 5=Stretch, 1=Impossible</t>
  </si>
  <si>
    <t xml:space="preserve">9. Zone Compliance</t>
  </si>
  <si>
    <t xml:space="preserve">RED/YELLOW/GREEN right?</t>
  </si>
  <si>
    <t xml:space="preserve">10=Correct, 5=Edge, 1=Wrong</t>
  </si>
  <si>
    <t xml:space="preserve">10. Leverage Factor</t>
  </si>
  <si>
    <t xml:space="preserve">Does output compound?</t>
  </si>
  <si>
    <t xml:space="preserve">10=High, 5=One-time, 1=Dead end</t>
  </si>
  <si>
    <t xml:space="preserve">TOTAL</t>
  </si>
  <si>
    <t xml:space="preserve">GATES: &lt;65=REJECT | 65-95=REFINE | 95-115=EXECUTE | 115+=SHIP (MAX=130)</t>
  </si>
  <si>
    <t xml:space="preserve">FRAMEWORK</t>
  </si>
  <si>
    <t xml:space="preserve">TYPE</t>
  </si>
  <si>
    <t xml:space="preserve">BEST_FOR</t>
  </si>
  <si>
    <t xml:space="preserve">COMPLEXITY</t>
  </si>
  <si>
    <t xml:space="preserve">TIME_BLOCK</t>
  </si>
  <si>
    <t xml:space="preserve">CoT</t>
  </si>
  <si>
    <t xml:space="preserve">Reasoning</t>
  </si>
  <si>
    <t xml:space="preserve">Complex logic, math</t>
  </si>
  <si>
    <t xml:space="preserve">G2,G5</t>
  </si>
  <si>
    <t xml:space="preserve">Medium</t>
  </si>
  <si>
    <t xml:space="preserve">10-30min</t>
  </si>
  <si>
    <t xml:space="preserve">ToT</t>
  </si>
  <si>
    <t xml:space="preserve">Strategy options</t>
  </si>
  <si>
    <t xml:space="preserve">High</t>
  </si>
  <si>
    <t xml:space="preserve">30-60min</t>
  </si>
  <si>
    <t xml:space="preserve">ReAct</t>
  </si>
  <si>
    <t xml:space="preserve">Tool use, agentic</t>
  </si>
  <si>
    <t xml:space="preserve">30min</t>
  </si>
  <si>
    <t xml:space="preserve">Self-Consistency</t>
  </si>
  <si>
    <t xml:space="preserve">High-stakes verify</t>
  </si>
  <si>
    <t xml:space="preserve">G2,G3</t>
  </si>
  <si>
    <t xml:space="preserve">MECE</t>
  </si>
  <si>
    <t xml:space="preserve">Decomposition</t>
  </si>
  <si>
    <t xml:space="preserve">G1,G2,G5</t>
  </si>
  <si>
    <t xml:space="preserve">First Principles</t>
  </si>
  <si>
    <t xml:space="preserve">Challenge assumptions</t>
  </si>
  <si>
    <t xml:space="preserve">OODA</t>
  </si>
  <si>
    <t xml:space="preserve">Decision</t>
  </si>
  <si>
    <t xml:space="preserve">Rapid decisions</t>
  </si>
  <si>
    <t xml:space="preserve">G3,G5</t>
  </si>
  <si>
    <t xml:space="preserve">Low</t>
  </si>
  <si>
    <t xml:space="preserve">5-10min</t>
  </si>
  <si>
    <t xml:space="preserve">5 Whys</t>
  </si>
  <si>
    <t xml:space="preserve">Root cause</t>
  </si>
  <si>
    <t xml:space="preserve">G4,G5</t>
  </si>
  <si>
    <t xml:space="preserve">Wardley</t>
  </si>
  <si>
    <t xml:space="preserve">Positioning</t>
  </si>
  <si>
    <t xml:space="preserve">JTBD</t>
  </si>
  <si>
    <t xml:space="preserve">Customer motivation</t>
  </si>
  <si>
    <t xml:space="preserve">Inversion</t>
  </si>
  <si>
    <t xml:space="preserve">Risk</t>
  </si>
  <si>
    <t xml:space="preserve">Failure prevention</t>
  </si>
  <si>
    <t xml:space="preserve">Pre-Mortem</t>
  </si>
  <si>
    <t xml:space="preserve">Project planning</t>
  </si>
  <si>
    <t xml:space="preserve">ALL</t>
  </si>
  <si>
    <t xml:space="preserve">10min</t>
  </si>
  <si>
    <t xml:space="preserve">IRAC</t>
  </si>
  <si>
    <t xml:space="preserve">Legal</t>
  </si>
  <si>
    <t xml:space="preserve">Legal analysis</t>
  </si>
  <si>
    <t xml:space="preserve">RAG</t>
  </si>
  <si>
    <t xml:space="preserve">Knowledge</t>
  </si>
  <si>
    <t xml:space="preserve">Current info</t>
  </si>
  <si>
    <t xml:space="preserve">Few-Shot</t>
  </si>
  <si>
    <t xml:space="preserve">Format standardization</t>
  </si>
  <si>
    <t xml:space="preserve">5min</t>
  </si>
  <si>
    <t xml:space="preserve">Role-Play</t>
  </si>
  <si>
    <t xml:space="preserve">Profile</t>
  </si>
  <si>
    <t xml:space="preserve">Domain expertise</t>
  </si>
  <si>
    <t xml:space="preserve">1min</t>
  </si>
  <si>
    <t xml:space="preserve">ROADBLOCK_TYPE</t>
  </si>
  <si>
    <t xml:space="preserve">PROBABILITY</t>
  </si>
  <si>
    <t xml:space="preserve">MITIGATION_1</t>
  </si>
  <si>
    <t xml:space="preserve">MITIGATION_2</t>
  </si>
  <si>
    <t xml:space="preserve">Missing Deadline</t>
  </si>
  <si>
    <t xml:space="preserve">Court filing deadline missed</t>
  </si>
  <si>
    <t xml:space="preserve">HIGH if untracked</t>
  </si>
  <si>
    <t xml:space="preserve">Calendar alerts 72h/24h/4h</t>
  </si>
  <si>
    <t xml:space="preserve">Delegate backup filer</t>
  </si>
  <si>
    <t xml:space="preserve">Discovery Gap</t>
  </si>
  <si>
    <t xml:space="preserve">Missing evidence for argument</t>
  </si>
  <si>
    <t xml:space="preserve">MEDIUM</t>
  </si>
  <si>
    <t xml:space="preserve">Pre-mortem evidence check</t>
  </si>
  <si>
    <t xml:space="preserve">Alternative argument path</t>
  </si>
  <si>
    <t xml:space="preserve">Adverse Ruling</t>
  </si>
  <si>
    <t xml:space="preserve">Judge rules against motion</t>
  </si>
  <si>
    <t xml:space="preserve">VARIES</t>
  </si>
  <si>
    <t xml:space="preserve">Prepare appeal brief draft</t>
  </si>
  <si>
    <t xml:space="preserve">Settlement negotiation ready</t>
  </si>
  <si>
    <t xml:space="preserve">Payment Processing</t>
  </si>
  <si>
    <t xml:space="preserve">Stripe/payment fails</t>
  </si>
  <si>
    <t xml:space="preserve">LOW</t>
  </si>
  <si>
    <t xml:space="preserve">Backup processor ready</t>
  </si>
  <si>
    <t xml:space="preserve">Manual invoice fallback</t>
  </si>
  <si>
    <t xml:space="preserve">Lead Quality</t>
  </si>
  <si>
    <t xml:space="preserve">Leads don't convert</t>
  </si>
  <si>
    <t xml:space="preserve">A/B test lead sources</t>
  </si>
  <si>
    <t xml:space="preserve">Refine qualification criteria</t>
  </si>
  <si>
    <t xml:space="preserve">Scope Creep</t>
  </si>
  <si>
    <t xml:space="preserve">Feature requests derail</t>
  </si>
  <si>
    <t xml:space="preserve">HIGH</t>
  </si>
  <si>
    <t xml:space="preserve">Fixed scope contract</t>
  </si>
  <si>
    <t xml:space="preserve">Change order process</t>
  </si>
  <si>
    <t xml:space="preserve">Dependency Hell</t>
  </si>
  <si>
    <t xml:space="preserve">Package conflicts</t>
  </si>
  <si>
    <t xml:space="preserve">Lock versions</t>
  </si>
  <si>
    <t xml:space="preserve">Docker isolation</t>
  </si>
  <si>
    <t xml:space="preserve">API Rate Limit</t>
  </si>
  <si>
    <t xml:space="preserve">External API blocks</t>
  </si>
  <si>
    <t xml:space="preserve">Caching layer</t>
  </si>
  <si>
    <t xml:space="preserve">Fallback provider</t>
  </si>
  <si>
    <t xml:space="preserve">Deploy Failure</t>
  </si>
  <si>
    <t xml:space="preserve">CI/CD breaks</t>
  </si>
  <si>
    <t xml:space="preserve">Rollback script ready</t>
  </si>
  <si>
    <t xml:space="preserve">Feature flags</t>
  </si>
  <si>
    <t xml:space="preserve">Communication Block</t>
  </si>
  <si>
    <t xml:space="preserve">Other party unresponsive</t>
  </si>
  <si>
    <t xml:space="preserve">Multiple channels</t>
  </si>
  <si>
    <t xml:space="preserve">Mediator backup</t>
  </si>
  <si>
    <t xml:space="preserve">PROMPT_ID</t>
  </si>
  <si>
    <t xml:space="preserve">NAME</t>
  </si>
  <si>
    <t xml:space="preserve">GOAL</t>
  </si>
  <si>
    <t xml:space="preserve">PRE_SCORE</t>
  </si>
  <si>
    <t xml:space="preserve">POST_SCORE</t>
  </si>
  <si>
    <t xml:space="preserve">FULL_PROMPT</t>
  </si>
  <si>
    <t xml:space="preserve">LEARNINGS</t>
  </si>
  <si>
    <t xml:space="preserve">P001</t>
  </si>
  <si>
    <t xml:space="preserve">Motion Analysis</t>
  </si>
  <si>
    <t xml:space="preserve">[Saved prompt here]</t>
  </si>
  <si>
    <t xml:space="preserve">IRAC + CoT combo worked well</t>
  </si>
  <si>
    <t xml:space="preserve">VS PROTOCOL: CATEGORY PROBABILITY ALLOCATOR</t>
  </si>
  <si>
    <t xml:space="preserve">CATEGORY</t>
  </si>
  <si>
    <t xml:space="preserve">DEFAULT_P</t>
  </si>
  <si>
    <t xml:space="preserve">YOUR_P</t>
  </si>
  <si>
    <t xml:space="preserve">ADJUSTED_P</t>
  </si>
  <si>
    <t xml:space="preserve">NOTES</t>
  </si>
  <si>
    <t xml:space="preserve">CONSERVATIVE</t>
  </si>
  <si>
    <t xml:space="preserve">Proven, safe, conventional</t>
  </si>
  <si>
    <t xml:space="preserve">Default for legal</t>
  </si>
  <si>
    <t xml:space="preserve">AGGRESSIVE</t>
  </si>
  <si>
    <t xml:space="preserve">High-risk/high-reward, novel</t>
  </si>
  <si>
    <t xml:space="preserve">Use for G5 growth</t>
  </si>
  <si>
    <t xml:space="preserve">CONTRARIAN</t>
  </si>
  <si>
    <t xml:space="preserve">Challenge premise, reframe</t>
  </si>
  <si>
    <t xml:space="preserve">Good for stuck problems</t>
  </si>
  <si>
    <t xml:space="preserve">TACTICAL</t>
  </si>
  <si>
    <t xml:space="preserve">Immediate action, quick win</t>
  </si>
  <si>
    <t xml:space="preserve">OODA situations</t>
  </si>
  <si>
    <t xml:space="preserve">STRATEGIC</t>
  </si>
  <si>
    <t xml:space="preserve">Long-term, systemic</t>
  </si>
  <si>
    <t xml:space="preserve">Wardley mapping</t>
  </si>
  <si>
    <t xml:space="preserve">TOTAL P:</t>
  </si>
  <si>
    <t xml:space="preserve">ASSUMPTION ADJUSTMENT: 0 unverified = P×1.0 | 1-2 unverified = P×0.8 | 3+ unverified = P×0.5</t>
  </si>
  <si>
    <t xml:space="preserve">GOAL_ID</t>
  </si>
  <si>
    <t xml:space="preserve">PRIORITY</t>
  </si>
  <si>
    <t xml:space="preserve">SUCCESS_METRIC</t>
  </si>
  <si>
    <t xml:space="preserve">DEADLINE</t>
  </si>
  <si>
    <t xml:space="preserve">G1</t>
  </si>
  <si>
    <t xml:space="preserve">Beat bankruptcy/Joel/Jordan</t>
  </si>
  <si>
    <t xml:space="preserve">CRITICAL</t>
  </si>
  <si>
    <t xml:space="preserve">Dismissed or favorable settlement</t>
  </si>
  <si>
    <t xml:space="preserve">TBD</t>
  </si>
  <si>
    <t xml:space="preserve">Beat federal charges</t>
  </si>
  <si>
    <t xml:space="preserve">Acquittal or charges dropped</t>
  </si>
  <si>
    <t xml:space="preserve">Beat Carolyn (custody/warrant/license)</t>
  </si>
  <si>
    <t xml:space="preserve">LEGAL/FAMILY</t>
  </si>
  <si>
    <t xml:space="preserve">Full custody, warrants quashed</t>
  </si>
  <si>
    <t xml:space="preserve">Family happiness</t>
  </si>
  <si>
    <t xml:space="preserve">Quality time, relationship health</t>
  </si>
  <si>
    <t xml:space="preserve">ONGOING</t>
  </si>
  <si>
    <t xml:space="preserve">$500K/mo in 90 days (pet+dental)</t>
  </si>
  <si>
    <t xml:space="preserve">Revenue milestone hit</t>
  </si>
  <si>
    <t xml:space="preserve">90 DAYS</t>
  </si>
  <si>
    <t xml:space="preserve">DATE</t>
  </si>
  <si>
    <t xml:space="preserve">TIME_PLANNED</t>
  </si>
  <si>
    <t xml:space="preserve">TIME_ACTUAL</t>
  </si>
  <si>
    <t xml:space="preserve">OUTCOME</t>
  </si>
  <si>
    <t xml:space="preserve">REUSE?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</si>
</sst>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8D8C8"/>
      </patternFill>
    </fill>
    <fill>
      <patternFill patternType="solid">
        <fgColor rgb="FF6BCB77"/>
        <bgColor rgb="FF90EE90"/>
      </patternFill>
    </fill>
    <fill>
      <patternFill patternType="solid">
        <fgColor rgb="FF98D8C8"/>
        <bgColor rgb="FF90EE90"/>
      </patternFill>
    </fill>
    <fill>
      <patternFill patternType="solid">
        <fgColor rgb="FFFFE66D"/>
        <bgColor rgb="FFFFCC99"/>
      </patternFill>
    </fill>
    <fill>
      <patternFill patternType="solid">
        <fgColor rgb="FFFF6B6B"/>
        <bgColor rgb="FFFF66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E66D"/>
      <rgbColor rgb="FF98D8C8"/>
      <rgbColor rgb="FFFF99CC"/>
      <rgbColor rgb="FFCC99FF"/>
      <rgbColor rgb="FFFFCC99"/>
      <rgbColor rgb="FF2E75B6"/>
      <rgbColor rgb="FF6BCB77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8" min="8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0" t="s">
        <v>2</v>
      </c>
      <c r="B4" s="3"/>
      <c r="C4" s="4" t="s">
        <v>3</v>
      </c>
      <c r="D4" s="3"/>
    </row>
    <row r="6" customFormat="false" ht="15" hidden="false" customHeight="false" outlineLevel="0" collapsed="false">
      <c r="A6" s="5" t="s">
        <v>4</v>
      </c>
      <c r="B6" s="5"/>
      <c r="C6" s="5"/>
      <c r="D6" s="5"/>
    </row>
    <row r="7" customFormat="false" ht="15" hidden="false" customHeight="false" outlineLevel="0" collapsed="false">
      <c r="A7" s="0" t="s">
        <v>5</v>
      </c>
      <c r="B7" s="3"/>
      <c r="C7" s="4" t="s">
        <v>6</v>
      </c>
      <c r="D7" s="6"/>
    </row>
    <row r="9" customFormat="false" ht="15" hidden="false" customHeight="false" outlineLevel="0" collapsed="false">
      <c r="A9" s="5" t="s">
        <v>7</v>
      </c>
      <c r="B9" s="5"/>
      <c r="C9" s="5"/>
      <c r="D9" s="5"/>
    </row>
    <row r="10" customFormat="false" ht="15" hidden="false" customHeight="false" outlineLevel="0" collapsed="false">
      <c r="A10" s="0" t="s">
        <v>8</v>
      </c>
      <c r="B10" s="3"/>
      <c r="C10" s="4" t="s">
        <v>9</v>
      </c>
      <c r="D10" s="6"/>
    </row>
    <row r="12" customFormat="false" ht="15" hidden="false" customHeight="false" outlineLevel="0" collapsed="false">
      <c r="A12" s="5" t="s">
        <v>10</v>
      </c>
      <c r="B12" s="5"/>
      <c r="C12" s="5"/>
      <c r="D12" s="5"/>
    </row>
    <row r="13" customFormat="false" ht="15" hidden="false" customHeight="false" outlineLevel="0" collapsed="false">
      <c r="A13" s="0" t="s">
        <v>11</v>
      </c>
      <c r="B13" s="3"/>
      <c r="C13" s="4" t="s">
        <v>12</v>
      </c>
      <c r="D13" s="3"/>
    </row>
    <row r="15" customFormat="false" ht="15" hidden="false" customHeight="false" outlineLevel="0" collapsed="false">
      <c r="A15" s="5" t="s">
        <v>13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7" t="s">
        <v>14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 t="s">
        <v>15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7" t="s">
        <v>16</v>
      </c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7" t="s">
        <v>17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7" t="s">
        <v>18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7" t="s">
        <v>19</v>
      </c>
      <c r="B21" s="8"/>
      <c r="C21" s="8"/>
      <c r="D21" s="8"/>
      <c r="E21" s="8"/>
      <c r="F21" s="8"/>
      <c r="G21" s="8"/>
      <c r="H21" s="8"/>
    </row>
    <row r="23" customFormat="false" ht="15" hidden="false" customHeight="false" outlineLevel="0" collapsed="false">
      <c r="A23" s="5" t="s">
        <v>20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0" t="s">
        <v>21</v>
      </c>
      <c r="B24" s="9"/>
      <c r="C24" s="9"/>
      <c r="D24" s="9"/>
      <c r="E24" s="4" t="s">
        <v>22</v>
      </c>
      <c r="F24" s="6"/>
    </row>
    <row r="25" customFormat="false" ht="15" hidden="false" customHeight="false" outlineLevel="0" collapsed="false">
      <c r="A25" s="0" t="s">
        <v>23</v>
      </c>
      <c r="B25" s="9"/>
      <c r="C25" s="9"/>
      <c r="D25" s="9"/>
      <c r="E25" s="4" t="s">
        <v>22</v>
      </c>
      <c r="F25" s="6"/>
    </row>
    <row r="26" customFormat="false" ht="15" hidden="false" customHeight="false" outlineLevel="0" collapsed="false">
      <c r="A26" s="0" t="s">
        <v>24</v>
      </c>
      <c r="B26" s="9"/>
      <c r="C26" s="9"/>
      <c r="D26" s="9"/>
      <c r="E26" s="4" t="s">
        <v>22</v>
      </c>
      <c r="F26" s="6"/>
    </row>
    <row r="28" customFormat="false" ht="15" hidden="false" customHeight="false" outlineLevel="0" collapsed="false">
      <c r="A28" s="0" t="s">
        <v>25</v>
      </c>
      <c r="B28" s="9"/>
      <c r="C28" s="9"/>
      <c r="D28" s="9"/>
      <c r="E28" s="4" t="s">
        <v>26</v>
      </c>
      <c r="F28" s="9"/>
      <c r="G28" s="9"/>
      <c r="H28" s="9"/>
    </row>
    <row r="29" customFormat="false" ht="15" hidden="false" customHeight="false" outlineLevel="0" collapsed="false">
      <c r="A29" s="0" t="s">
        <v>27</v>
      </c>
      <c r="B29" s="9"/>
      <c r="C29" s="9"/>
      <c r="D29" s="9"/>
      <c r="E29" s="4" t="s">
        <v>26</v>
      </c>
      <c r="F29" s="9"/>
      <c r="G29" s="9"/>
      <c r="H29" s="9"/>
    </row>
    <row r="31" customFormat="false" ht="15" hidden="false" customHeight="false" outlineLevel="0" collapsed="false">
      <c r="A31" s="5" t="s">
        <v>28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0" t="s">
        <v>29</v>
      </c>
      <c r="C32" s="8"/>
      <c r="D32" s="4" t="n">
        <f aca="false">C32*2</f>
        <v>0</v>
      </c>
      <c r="E32" s="4" t="s">
        <v>30</v>
      </c>
    </row>
    <row r="33" customFormat="false" ht="15" hidden="false" customHeight="false" outlineLevel="0" collapsed="false">
      <c r="A33" s="0" t="s">
        <v>31</v>
      </c>
      <c r="C33" s="8"/>
      <c r="D33" s="4" t="n">
        <f aca="false">C33*1.5</f>
        <v>0</v>
      </c>
      <c r="E33" s="4" t="s">
        <v>32</v>
      </c>
    </row>
    <row r="34" customFormat="false" ht="15" hidden="false" customHeight="false" outlineLevel="0" collapsed="false">
      <c r="A34" s="0" t="s">
        <v>33</v>
      </c>
      <c r="C34" s="8"/>
      <c r="D34" s="4" t="n">
        <f aca="false">C34*1</f>
        <v>0</v>
      </c>
      <c r="E34" s="4" t="s">
        <v>34</v>
      </c>
    </row>
    <row r="35" customFormat="false" ht="15" hidden="false" customHeight="false" outlineLevel="0" collapsed="false">
      <c r="A35" s="0" t="s">
        <v>35</v>
      </c>
      <c r="C35" s="8"/>
      <c r="D35" s="4" t="n">
        <f aca="false">C35*1.5</f>
        <v>0</v>
      </c>
      <c r="E35" s="4" t="s">
        <v>32</v>
      </c>
    </row>
    <row r="36" customFormat="false" ht="15" hidden="false" customHeight="false" outlineLevel="0" collapsed="false">
      <c r="A36" s="0" t="s">
        <v>36</v>
      </c>
      <c r="C36" s="8"/>
      <c r="D36" s="4" t="n">
        <f aca="false">C36*1</f>
        <v>0</v>
      </c>
      <c r="E36" s="4" t="s">
        <v>34</v>
      </c>
    </row>
    <row r="37" customFormat="false" ht="15" hidden="false" customHeight="false" outlineLevel="0" collapsed="false">
      <c r="A37" s="0" t="s">
        <v>37</v>
      </c>
      <c r="C37" s="8"/>
      <c r="D37" s="4" t="n">
        <f aca="false">C37*1</f>
        <v>0</v>
      </c>
      <c r="E37" s="4" t="s">
        <v>34</v>
      </c>
    </row>
    <row r="38" customFormat="false" ht="15" hidden="false" customHeight="false" outlineLevel="0" collapsed="false">
      <c r="A38" s="0" t="s">
        <v>38</v>
      </c>
      <c r="C38" s="8"/>
      <c r="D38" s="4" t="n">
        <f aca="false">C38*1</f>
        <v>0</v>
      </c>
      <c r="E38" s="4" t="s">
        <v>34</v>
      </c>
    </row>
    <row r="39" customFormat="false" ht="15" hidden="false" customHeight="false" outlineLevel="0" collapsed="false">
      <c r="A39" s="0" t="s">
        <v>39</v>
      </c>
      <c r="C39" s="8"/>
      <c r="D39" s="4" t="n">
        <f aca="false">C39*1.5</f>
        <v>0</v>
      </c>
      <c r="E39" s="4" t="s">
        <v>32</v>
      </c>
    </row>
    <row r="40" customFormat="false" ht="15" hidden="false" customHeight="false" outlineLevel="0" collapsed="false">
      <c r="A40" s="0" t="s">
        <v>40</v>
      </c>
      <c r="C40" s="8"/>
      <c r="D40" s="4" t="n">
        <f aca="false">C40*1.5</f>
        <v>0</v>
      </c>
      <c r="E40" s="4" t="s">
        <v>32</v>
      </c>
    </row>
    <row r="41" customFormat="false" ht="15" hidden="false" customHeight="false" outlineLevel="0" collapsed="false">
      <c r="A41" s="0" t="s">
        <v>41</v>
      </c>
      <c r="C41" s="8"/>
      <c r="D41" s="4" t="n">
        <f aca="false">C41*1</f>
        <v>0</v>
      </c>
      <c r="E41" s="4" t="s">
        <v>34</v>
      </c>
    </row>
    <row r="43" customFormat="false" ht="17.35" hidden="false" customHeight="false" outlineLevel="0" collapsed="false">
      <c r="A43" s="10" t="s">
        <v>42</v>
      </c>
      <c r="C43" s="11" t="n">
        <f aca="false">SUM(D32:D41)</f>
        <v>0</v>
      </c>
      <c r="E43" s="7" t="s">
        <v>43</v>
      </c>
    </row>
    <row r="45" customFormat="false" ht="15" hidden="false" customHeight="false" outlineLevel="0" collapsed="false">
      <c r="A45" s="5" t="s">
        <v>44</v>
      </c>
      <c r="B45" s="5"/>
      <c r="C45" s="5"/>
      <c r="D45" s="5"/>
      <c r="E45" s="5"/>
      <c r="F45" s="5"/>
      <c r="G45" s="5"/>
      <c r="H45" s="5"/>
    </row>
    <row r="46" customFormat="false" ht="15" hidden="false" customHeight="true" outlineLevel="0" collapsed="false">
      <c r="A46" s="12" t="s">
        <v>45</v>
      </c>
      <c r="B46" s="12"/>
      <c r="C46" s="12"/>
      <c r="D46" s="12"/>
      <c r="E46" s="12"/>
      <c r="F46" s="12"/>
      <c r="G46" s="12"/>
      <c r="H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</row>
  </sheetData>
  <mergeCells count="23">
    <mergeCell ref="A1:H1"/>
    <mergeCell ref="A3:D3"/>
    <mergeCell ref="A6:D6"/>
    <mergeCell ref="A9:D9"/>
    <mergeCell ref="A12:D12"/>
    <mergeCell ref="A15:H15"/>
    <mergeCell ref="B16:H16"/>
    <mergeCell ref="B17:H17"/>
    <mergeCell ref="B18:H18"/>
    <mergeCell ref="B19:H19"/>
    <mergeCell ref="B20:H20"/>
    <mergeCell ref="B21:H21"/>
    <mergeCell ref="A23:H23"/>
    <mergeCell ref="B24:D24"/>
    <mergeCell ref="B25:D25"/>
    <mergeCell ref="B26:D26"/>
    <mergeCell ref="B28:D28"/>
    <mergeCell ref="F28:H28"/>
    <mergeCell ref="B29:D29"/>
    <mergeCell ref="F29:H29"/>
    <mergeCell ref="A31:H31"/>
    <mergeCell ref="A45:H45"/>
    <mergeCell ref="A46:H50"/>
  </mergeCells>
  <dataValidations count="7">
    <dataValidation allowBlank="true" errorStyle="stop" operator="between" showDropDown="false" showErrorMessage="false" showInputMessage="false" sqref="B4" type="list">
      <formula1>"LEGAL,BUSINESS,TECHNICAL,FAMILY,RESEARCH"</formula1>
      <formula2>0</formula2>
    </dataValidation>
    <dataValidation allowBlank="true" errorStyle="stop" operator="between" showDropDown="false" showErrorMessage="false" showInputMessage="false" sqref="B7" type="list">
      <formula1>"G1-Bankruptcy,G2-Federal,G3-Custody,G4-Family,G5-Revenue"</formula1>
      <formula2>0</formula2>
    </dataValidation>
    <dataValidation allowBlank="true" errorStyle="stop" operator="between" showDropDown="false" showErrorMessage="false" showInputMessage="false" sqref="B10" type="list">
      <formula1>"CoT,ToT,MECE,OODA,First-Principles,JTBD,Wardley,Inversion,Pre-Mortem,IRAC,RAG,Few-Shot,Role-Play"</formula1>
      <formula2>0</formula2>
    </dataValidation>
    <dataValidation allowBlank="true" errorStyle="stop" operator="between" showDropDown="false" showErrorMessage="false" showInputMessage="false" sqref="D10" type="list">
      <formula1>"Low,Medium,High"</formula1>
      <formula2>0</formula2>
    </dataValidation>
    <dataValidation allowBlank="true" errorStyle="stop" operator="between" showDropDown="false" showErrorMessage="false" showInputMessage="false" sqref="B13" type="list">
      <formula1>"1min,5min,10min,30min,1hour,&gt;2hours-WARNING"</formula1>
      <formula2>0</formula2>
    </dataValidation>
    <dataValidation allowBlank="true" errorStyle="stop" operator="between" showDropDown="false" showErrorMessage="false" showInputMessage="false" sqref="D13" type="list">
      <formula1>"GREEN-Autonomy,YELLOW-Review,RED-Approval"</formula1>
      <formula2>0</formula2>
    </dataValidation>
    <dataValidation allowBlank="true" errorStyle="stop" operator="between" showDropDown="false" showErrorMessage="false" showInputMessage="false" sqref="F24:F26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17.35" hidden="false" customHeight="false" outlineLevel="0" collapsed="false">
      <c r="A1" s="13" t="s">
        <v>46</v>
      </c>
      <c r="B1" s="13"/>
      <c r="C1" s="13"/>
      <c r="D1" s="13"/>
      <c r="E1" s="13"/>
      <c r="F1" s="13"/>
      <c r="G1" s="13"/>
      <c r="H1" s="13"/>
      <c r="I1" s="13"/>
    </row>
    <row r="2" customFormat="false" ht="28.35" hidden="false" customHeight="false" outlineLevel="0" collapsed="false">
      <c r="A2" s="14" t="s">
        <v>47</v>
      </c>
      <c r="B2" s="14" t="s">
        <v>48</v>
      </c>
      <c r="C2" s="14" t="s">
        <v>49</v>
      </c>
      <c r="D2" s="14" t="s">
        <v>50</v>
      </c>
      <c r="E2" s="14" t="s">
        <v>51</v>
      </c>
      <c r="F2" s="14" t="s">
        <v>52</v>
      </c>
      <c r="G2" s="14" t="s">
        <v>53</v>
      </c>
      <c r="H2" s="14" t="s">
        <v>54</v>
      </c>
      <c r="I2" s="14" t="s">
        <v>55</v>
      </c>
    </row>
    <row r="3" customFormat="false" ht="15" hidden="false" customHeight="false" outlineLevel="0" collapsed="false">
      <c r="A3" s="15" t="s">
        <v>56</v>
      </c>
      <c r="B3" s="15" t="s">
        <v>57</v>
      </c>
      <c r="C3" s="15" t="s">
        <v>57</v>
      </c>
      <c r="D3" s="15" t="s">
        <v>57</v>
      </c>
      <c r="E3" s="15" t="s">
        <v>57</v>
      </c>
      <c r="F3" s="15" t="s">
        <v>57</v>
      </c>
      <c r="G3" s="15" t="s">
        <v>57</v>
      </c>
      <c r="H3" s="16" t="s">
        <v>58</v>
      </c>
      <c r="I3" s="16" t="s">
        <v>59</v>
      </c>
    </row>
    <row r="4" customFormat="false" ht="15" hidden="false" customHeight="false" outlineLevel="0" collapsed="false">
      <c r="A4" s="15" t="s">
        <v>60</v>
      </c>
      <c r="B4" s="15" t="s">
        <v>57</v>
      </c>
      <c r="C4" s="15" t="s">
        <v>57</v>
      </c>
      <c r="D4" s="15" t="s">
        <v>57</v>
      </c>
      <c r="E4" s="15" t="s">
        <v>57</v>
      </c>
      <c r="F4" s="15" t="s">
        <v>57</v>
      </c>
      <c r="G4" s="15" t="s">
        <v>57</v>
      </c>
      <c r="H4" s="16" t="s">
        <v>58</v>
      </c>
      <c r="I4" s="16" t="s">
        <v>59</v>
      </c>
    </row>
    <row r="5" customFormat="false" ht="15" hidden="false" customHeight="false" outlineLevel="0" collapsed="false">
      <c r="A5" s="15" t="s">
        <v>61</v>
      </c>
      <c r="B5" s="15" t="s">
        <v>57</v>
      </c>
      <c r="C5" s="15" t="s">
        <v>57</v>
      </c>
      <c r="D5" s="15" t="s">
        <v>57</v>
      </c>
      <c r="E5" s="15" t="s">
        <v>57</v>
      </c>
      <c r="F5" s="15" t="s">
        <v>57</v>
      </c>
      <c r="G5" s="15" t="s">
        <v>57</v>
      </c>
      <c r="H5" s="16" t="s">
        <v>58</v>
      </c>
      <c r="I5" s="16" t="s">
        <v>59</v>
      </c>
    </row>
    <row r="6" customFormat="false" ht="15" hidden="false" customHeight="false" outlineLevel="0" collapsed="false">
      <c r="A6" s="15" t="s">
        <v>62</v>
      </c>
      <c r="B6" s="15" t="s">
        <v>57</v>
      </c>
      <c r="C6" s="15" t="s">
        <v>57</v>
      </c>
      <c r="D6" s="15" t="s">
        <v>57</v>
      </c>
      <c r="E6" s="15" t="s">
        <v>57</v>
      </c>
      <c r="F6" s="15" t="s">
        <v>57</v>
      </c>
      <c r="G6" s="15" t="s">
        <v>57</v>
      </c>
      <c r="H6" s="16" t="s">
        <v>58</v>
      </c>
      <c r="I6" s="16" t="s">
        <v>59</v>
      </c>
    </row>
    <row r="7" customFormat="false" ht="15" hidden="false" customHeight="false" outlineLevel="0" collapsed="false">
      <c r="A7" s="15" t="s">
        <v>63</v>
      </c>
      <c r="B7" s="15" t="s">
        <v>57</v>
      </c>
      <c r="C7" s="15" t="s">
        <v>57</v>
      </c>
      <c r="D7" s="15" t="s">
        <v>57</v>
      </c>
      <c r="E7" s="15" t="s">
        <v>57</v>
      </c>
      <c r="F7" s="15" t="s">
        <v>57</v>
      </c>
      <c r="G7" s="15" t="s">
        <v>57</v>
      </c>
      <c r="H7" s="16" t="s">
        <v>58</v>
      </c>
      <c r="I7" s="16" t="s">
        <v>59</v>
      </c>
    </row>
    <row r="8" customFormat="false" ht="15" hidden="false" customHeight="false" outlineLevel="0" collapsed="false">
      <c r="A8" s="15" t="s">
        <v>64</v>
      </c>
      <c r="B8" s="15" t="s">
        <v>57</v>
      </c>
      <c r="C8" s="15" t="s">
        <v>57</v>
      </c>
      <c r="D8" s="15" t="s">
        <v>57</v>
      </c>
      <c r="E8" s="15" t="s">
        <v>57</v>
      </c>
      <c r="F8" s="15" t="s">
        <v>57</v>
      </c>
      <c r="G8" s="15" t="s">
        <v>57</v>
      </c>
      <c r="H8" s="16" t="s">
        <v>58</v>
      </c>
      <c r="I8" s="16" t="s">
        <v>59</v>
      </c>
    </row>
    <row r="9" customFormat="false" ht="15" hidden="false" customHeight="false" outlineLevel="0" collapsed="false">
      <c r="A9" s="15" t="s">
        <v>65</v>
      </c>
      <c r="B9" s="15" t="s">
        <v>66</v>
      </c>
      <c r="C9" s="15" t="s">
        <v>57</v>
      </c>
      <c r="D9" s="15" t="s">
        <v>57</v>
      </c>
      <c r="E9" s="15" t="s">
        <v>57</v>
      </c>
      <c r="F9" s="15" t="s">
        <v>57</v>
      </c>
      <c r="G9" s="15" t="s">
        <v>57</v>
      </c>
      <c r="H9" s="16" t="s">
        <v>58</v>
      </c>
      <c r="I9" s="17" t="s">
        <v>67</v>
      </c>
    </row>
    <row r="10" customFormat="false" ht="15" hidden="false" customHeight="false" outlineLevel="0" collapsed="false">
      <c r="A10" s="15" t="s">
        <v>68</v>
      </c>
      <c r="B10" s="15" t="s">
        <v>57</v>
      </c>
      <c r="C10" s="15" t="s">
        <v>57</v>
      </c>
      <c r="D10" s="15" t="s">
        <v>57</v>
      </c>
      <c r="E10" s="15" t="s">
        <v>57</v>
      </c>
      <c r="F10" s="15" t="s">
        <v>57</v>
      </c>
      <c r="G10" s="15" t="s">
        <v>57</v>
      </c>
      <c r="H10" s="16" t="s">
        <v>58</v>
      </c>
      <c r="I10" s="16" t="s">
        <v>59</v>
      </c>
    </row>
    <row r="11" customFormat="false" ht="15" hidden="false" customHeight="false" outlineLevel="0" collapsed="false">
      <c r="A11" s="15" t="s">
        <v>69</v>
      </c>
      <c r="B11" s="15" t="s">
        <v>58</v>
      </c>
      <c r="C11" s="15" t="s">
        <v>58</v>
      </c>
      <c r="D11" s="15" t="s">
        <v>58</v>
      </c>
      <c r="E11" s="15" t="s">
        <v>58</v>
      </c>
      <c r="F11" s="15" t="s">
        <v>58</v>
      </c>
      <c r="G11" s="15" t="s">
        <v>58</v>
      </c>
      <c r="H11" s="16" t="s">
        <v>58</v>
      </c>
      <c r="I11" s="15" t="s">
        <v>70</v>
      </c>
    </row>
    <row r="12" customFormat="false" ht="15" hidden="false" customHeight="false" outlineLevel="0" collapsed="false">
      <c r="A12" s="15" t="s">
        <v>71</v>
      </c>
      <c r="B12" s="15" t="s">
        <v>58</v>
      </c>
      <c r="C12" s="15" t="s">
        <v>58</v>
      </c>
      <c r="D12" s="15" t="s">
        <v>58</v>
      </c>
      <c r="E12" s="15" t="s">
        <v>58</v>
      </c>
      <c r="F12" s="15" t="s">
        <v>58</v>
      </c>
      <c r="G12" s="15" t="s">
        <v>58</v>
      </c>
      <c r="H12" s="16" t="s">
        <v>58</v>
      </c>
      <c r="I12" s="15" t="s">
        <v>70</v>
      </c>
    </row>
    <row r="13" customFormat="false" ht="15" hidden="false" customHeight="false" outlineLevel="0" collapsed="false">
      <c r="A13" s="15" t="s">
        <v>72</v>
      </c>
      <c r="B13" s="15" t="s">
        <v>58</v>
      </c>
      <c r="C13" s="15" t="s">
        <v>57</v>
      </c>
      <c r="D13" s="15" t="s">
        <v>58</v>
      </c>
      <c r="E13" s="15" t="s">
        <v>58</v>
      </c>
      <c r="F13" s="15" t="s">
        <v>58</v>
      </c>
      <c r="G13" s="15" t="s">
        <v>58</v>
      </c>
      <c r="H13" s="18" t="s">
        <v>73</v>
      </c>
      <c r="I13" s="15" t="s">
        <v>74</v>
      </c>
    </row>
    <row r="14" customFormat="false" ht="15" hidden="false" customHeight="false" outlineLevel="0" collapsed="false">
      <c r="A14" s="15" t="s">
        <v>75</v>
      </c>
      <c r="B14" s="15" t="s">
        <v>58</v>
      </c>
      <c r="C14" s="15" t="s">
        <v>57</v>
      </c>
      <c r="D14" s="15" t="s">
        <v>58</v>
      </c>
      <c r="E14" s="15" t="s">
        <v>58</v>
      </c>
      <c r="F14" s="15" t="s">
        <v>58</v>
      </c>
      <c r="G14" s="15" t="s">
        <v>58</v>
      </c>
      <c r="H14" s="18" t="s">
        <v>73</v>
      </c>
      <c r="I14" s="15" t="s">
        <v>74</v>
      </c>
    </row>
    <row r="16" customFormat="false" ht="15" hidden="false" customHeight="false" outlineLevel="0" collapsed="false">
      <c r="A16" s="19" t="s">
        <v>76</v>
      </c>
      <c r="B16" s="20" t="s">
        <v>77</v>
      </c>
      <c r="C16" s="20"/>
      <c r="D16" s="20"/>
    </row>
  </sheetData>
  <mergeCells count="2">
    <mergeCell ref="A1:I1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4" t="s">
        <v>78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  <c r="H1" s="14" t="s">
        <v>85</v>
      </c>
    </row>
    <row r="2" customFormat="false" ht="41.75" hidden="false" customHeight="false" outlineLevel="0" collapsed="false">
      <c r="A2" s="21" t="s">
        <v>86</v>
      </c>
      <c r="B2" s="21" t="s">
        <v>87</v>
      </c>
      <c r="C2" s="21" t="s">
        <v>88</v>
      </c>
      <c r="D2" s="21" t="s">
        <v>89</v>
      </c>
      <c r="E2" s="21" t="s">
        <v>90</v>
      </c>
      <c r="F2" s="21" t="s">
        <v>91</v>
      </c>
      <c r="G2" s="22" t="s">
        <v>92</v>
      </c>
      <c r="H2" s="21" t="s">
        <v>93</v>
      </c>
    </row>
    <row r="3" customFormat="false" ht="41.75" hidden="false" customHeight="false" outlineLevel="0" collapsed="false">
      <c r="A3" s="21" t="s">
        <v>86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  <c r="G3" s="23" t="s">
        <v>99</v>
      </c>
      <c r="H3" s="21" t="s">
        <v>100</v>
      </c>
    </row>
    <row r="4" customFormat="false" ht="41.75" hidden="false" customHeight="false" outlineLevel="0" collapsed="false">
      <c r="A4" s="21" t="s">
        <v>86</v>
      </c>
      <c r="B4" s="21" t="s">
        <v>101</v>
      </c>
      <c r="C4" s="21" t="s">
        <v>102</v>
      </c>
      <c r="D4" s="21" t="s">
        <v>103</v>
      </c>
      <c r="E4" s="21" t="s">
        <v>104</v>
      </c>
      <c r="F4" s="21" t="s">
        <v>105</v>
      </c>
      <c r="G4" s="22" t="s">
        <v>92</v>
      </c>
      <c r="H4" s="21" t="s">
        <v>106</v>
      </c>
    </row>
    <row r="5" customFormat="false" ht="41.75" hidden="false" customHeight="false" outlineLevel="0" collapsed="false">
      <c r="A5" s="21" t="s">
        <v>107</v>
      </c>
      <c r="B5" s="21" t="s">
        <v>108</v>
      </c>
      <c r="C5" s="21" t="s">
        <v>109</v>
      </c>
      <c r="D5" s="21" t="s">
        <v>110</v>
      </c>
      <c r="E5" s="21" t="s">
        <v>111</v>
      </c>
      <c r="F5" s="21" t="s">
        <v>112</v>
      </c>
      <c r="G5" s="24" t="s">
        <v>113</v>
      </c>
      <c r="H5" s="21" t="s">
        <v>114</v>
      </c>
    </row>
    <row r="6" customFormat="false" ht="41.75" hidden="false" customHeight="false" outlineLevel="0" collapsed="false">
      <c r="A6" s="21" t="s">
        <v>107</v>
      </c>
      <c r="B6" s="21" t="s">
        <v>115</v>
      </c>
      <c r="C6" s="21" t="s">
        <v>116</v>
      </c>
      <c r="D6" s="21" t="s">
        <v>117</v>
      </c>
      <c r="E6" s="21" t="s">
        <v>118</v>
      </c>
      <c r="F6" s="21" t="s">
        <v>119</v>
      </c>
      <c r="G6" s="23" t="s">
        <v>99</v>
      </c>
      <c r="H6" s="21" t="s">
        <v>114</v>
      </c>
    </row>
    <row r="7" customFormat="false" ht="41.75" hidden="false" customHeight="false" outlineLevel="0" collapsed="false">
      <c r="A7" s="21" t="s">
        <v>120</v>
      </c>
      <c r="B7" s="21" t="s">
        <v>121</v>
      </c>
      <c r="C7" s="21" t="s">
        <v>122</v>
      </c>
      <c r="D7" s="21" t="s">
        <v>123</v>
      </c>
      <c r="E7" s="21" t="s">
        <v>124</v>
      </c>
      <c r="F7" s="21" t="s">
        <v>125</v>
      </c>
      <c r="G7" s="24" t="s">
        <v>113</v>
      </c>
      <c r="H7" s="21" t="s">
        <v>114</v>
      </c>
    </row>
    <row r="8" customFormat="false" ht="41.75" hidden="false" customHeight="false" outlineLevel="0" collapsed="false">
      <c r="A8" s="21" t="s">
        <v>120</v>
      </c>
      <c r="B8" s="21" t="s">
        <v>126</v>
      </c>
      <c r="C8" s="21" t="s">
        <v>127</v>
      </c>
      <c r="D8" s="21" t="s">
        <v>128</v>
      </c>
      <c r="E8" s="21" t="s">
        <v>129</v>
      </c>
      <c r="F8" s="21" t="s">
        <v>130</v>
      </c>
      <c r="G8" s="24" t="s">
        <v>113</v>
      </c>
      <c r="H8" s="21" t="s">
        <v>114</v>
      </c>
    </row>
    <row r="9" customFormat="false" ht="41.75" hidden="false" customHeight="false" outlineLevel="0" collapsed="false">
      <c r="A9" s="21" t="s">
        <v>131</v>
      </c>
      <c r="B9" s="21" t="s">
        <v>132</v>
      </c>
      <c r="C9" s="21" t="s">
        <v>133</v>
      </c>
      <c r="D9" s="21" t="s">
        <v>134</v>
      </c>
      <c r="E9" s="21" t="s">
        <v>135</v>
      </c>
      <c r="F9" s="21" t="s">
        <v>136</v>
      </c>
      <c r="G9" s="24" t="s">
        <v>113</v>
      </c>
      <c r="H9" s="21" t="s">
        <v>137</v>
      </c>
    </row>
    <row r="10" customFormat="false" ht="41.75" hidden="false" customHeight="false" outlineLevel="0" collapsed="false">
      <c r="A10" s="21" t="s">
        <v>138</v>
      </c>
      <c r="B10" s="21" t="s">
        <v>139</v>
      </c>
      <c r="C10" s="21" t="s">
        <v>140</v>
      </c>
      <c r="D10" s="21" t="s">
        <v>141</v>
      </c>
      <c r="E10" s="21" t="s">
        <v>142</v>
      </c>
      <c r="F10" s="21" t="s">
        <v>143</v>
      </c>
      <c r="G10" s="24" t="s">
        <v>113</v>
      </c>
      <c r="H10" s="2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25" t="s">
        <v>144</v>
      </c>
      <c r="B1" s="25" t="s">
        <v>145</v>
      </c>
      <c r="C1" s="25" t="s">
        <v>146</v>
      </c>
      <c r="D1" s="25" t="s">
        <v>147</v>
      </c>
      <c r="E1" s="25" t="s">
        <v>148</v>
      </c>
      <c r="F1" s="25" t="s">
        <v>149</v>
      </c>
    </row>
    <row r="2" customFormat="false" ht="15" hidden="false" customHeight="false" outlineLevel="0" collapsed="false">
      <c r="A2" s="15" t="s">
        <v>150</v>
      </c>
      <c r="B2" s="15" t="s">
        <v>151</v>
      </c>
      <c r="C2" s="15" t="s">
        <v>152</v>
      </c>
      <c r="D2" s="15" t="n">
        <v>2</v>
      </c>
      <c r="E2" s="8"/>
      <c r="F2" s="15" t="n">
        <f aca="false">E2*D2</f>
        <v>0</v>
      </c>
    </row>
    <row r="3" customFormat="false" ht="15" hidden="false" customHeight="false" outlineLevel="0" collapsed="false">
      <c r="A3" s="15" t="s">
        <v>153</v>
      </c>
      <c r="B3" s="15" t="s">
        <v>154</v>
      </c>
      <c r="C3" s="15" t="s">
        <v>155</v>
      </c>
      <c r="D3" s="15" t="n">
        <v>1.5</v>
      </c>
      <c r="E3" s="8"/>
      <c r="F3" s="15" t="n">
        <f aca="false">E3*D3</f>
        <v>0</v>
      </c>
    </row>
    <row r="4" customFormat="false" ht="15" hidden="false" customHeight="false" outlineLevel="0" collapsed="false">
      <c r="A4" s="15" t="s">
        <v>156</v>
      </c>
      <c r="B4" s="15" t="s">
        <v>157</v>
      </c>
      <c r="C4" s="15" t="s">
        <v>158</v>
      </c>
      <c r="D4" s="15" t="n">
        <v>1</v>
      </c>
      <c r="E4" s="8"/>
      <c r="F4" s="15" t="n">
        <f aca="false">E4*D4</f>
        <v>0</v>
      </c>
    </row>
    <row r="5" customFormat="false" ht="15" hidden="false" customHeight="false" outlineLevel="0" collapsed="false">
      <c r="A5" s="15" t="s">
        <v>159</v>
      </c>
      <c r="B5" s="15" t="s">
        <v>160</v>
      </c>
      <c r="C5" s="15" t="s">
        <v>161</v>
      </c>
      <c r="D5" s="15" t="n">
        <v>1.5</v>
      </c>
      <c r="E5" s="8"/>
      <c r="F5" s="15" t="n">
        <f aca="false">E5*D5</f>
        <v>0</v>
      </c>
    </row>
    <row r="6" customFormat="false" ht="15" hidden="false" customHeight="false" outlineLevel="0" collapsed="false">
      <c r="A6" s="15" t="s">
        <v>162</v>
      </c>
      <c r="B6" s="15" t="s">
        <v>163</v>
      </c>
      <c r="C6" s="15" t="s">
        <v>164</v>
      </c>
      <c r="D6" s="15" t="n">
        <v>1</v>
      </c>
      <c r="E6" s="8"/>
      <c r="F6" s="15" t="n">
        <f aca="false">E6*D6</f>
        <v>0</v>
      </c>
    </row>
    <row r="7" customFormat="false" ht="15" hidden="false" customHeight="false" outlineLevel="0" collapsed="false">
      <c r="A7" s="15" t="s">
        <v>165</v>
      </c>
      <c r="B7" s="15" t="s">
        <v>166</v>
      </c>
      <c r="C7" s="15" t="s">
        <v>167</v>
      </c>
      <c r="D7" s="15" t="n">
        <v>1</v>
      </c>
      <c r="E7" s="8"/>
      <c r="F7" s="15" t="n">
        <f aca="false">E7*D7</f>
        <v>0</v>
      </c>
    </row>
    <row r="8" customFormat="false" ht="15" hidden="false" customHeight="false" outlineLevel="0" collapsed="false">
      <c r="A8" s="15" t="s">
        <v>168</v>
      </c>
      <c r="B8" s="15" t="s">
        <v>169</v>
      </c>
      <c r="C8" s="15" t="s">
        <v>170</v>
      </c>
      <c r="D8" s="15" t="n">
        <v>1</v>
      </c>
      <c r="E8" s="8"/>
      <c r="F8" s="15" t="n">
        <f aca="false">E8*D8</f>
        <v>0</v>
      </c>
    </row>
    <row r="9" customFormat="false" ht="15" hidden="false" customHeight="false" outlineLevel="0" collapsed="false">
      <c r="A9" s="15" t="s">
        <v>171</v>
      </c>
      <c r="B9" s="15" t="s">
        <v>172</v>
      </c>
      <c r="C9" s="15" t="s">
        <v>173</v>
      </c>
      <c r="D9" s="15" t="n">
        <v>1.5</v>
      </c>
      <c r="E9" s="8"/>
      <c r="F9" s="15" t="n">
        <f aca="false">E9*D9</f>
        <v>0</v>
      </c>
    </row>
    <row r="10" customFormat="false" ht="15" hidden="false" customHeight="false" outlineLevel="0" collapsed="false">
      <c r="A10" s="15" t="s">
        <v>174</v>
      </c>
      <c r="B10" s="15" t="s">
        <v>175</v>
      </c>
      <c r="C10" s="15" t="s">
        <v>176</v>
      </c>
      <c r="D10" s="15" t="n">
        <v>1.5</v>
      </c>
      <c r="E10" s="8"/>
      <c r="F10" s="15" t="n">
        <f aca="false">E10*D10</f>
        <v>0</v>
      </c>
    </row>
    <row r="11" customFormat="false" ht="15" hidden="false" customHeight="false" outlineLevel="0" collapsed="false">
      <c r="A11" s="15" t="s">
        <v>177</v>
      </c>
      <c r="B11" s="15" t="s">
        <v>178</v>
      </c>
      <c r="C11" s="15" t="s">
        <v>179</v>
      </c>
      <c r="D11" s="15" t="n">
        <v>1</v>
      </c>
      <c r="E11" s="8"/>
      <c r="F11" s="15" t="n">
        <f aca="false">E11*D11</f>
        <v>0</v>
      </c>
    </row>
    <row r="12" customFormat="false" ht="15" hidden="false" customHeight="false" outlineLevel="0" collapsed="false">
      <c r="A12" s="7" t="s">
        <v>180</v>
      </c>
      <c r="F12" s="26" t="n">
        <f aca="false">SUM(F2:F11)</f>
        <v>0</v>
      </c>
    </row>
    <row r="14" customFormat="false" ht="15" hidden="false" customHeight="false" outlineLevel="0" collapsed="false">
      <c r="A14" s="7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25" t="s">
        <v>182</v>
      </c>
      <c r="B1" s="25" t="s">
        <v>183</v>
      </c>
      <c r="C1" s="25" t="s">
        <v>184</v>
      </c>
      <c r="D1" s="25" t="s">
        <v>85</v>
      </c>
      <c r="E1" s="25" t="s">
        <v>185</v>
      </c>
      <c r="F1" s="25" t="s">
        <v>186</v>
      </c>
    </row>
    <row r="2" customFormat="false" ht="15" hidden="false" customHeight="false" outlineLevel="0" collapsed="false">
      <c r="A2" s="15" t="s">
        <v>187</v>
      </c>
      <c r="B2" s="15" t="s">
        <v>188</v>
      </c>
      <c r="C2" s="15" t="s">
        <v>189</v>
      </c>
      <c r="D2" s="15" t="s">
        <v>190</v>
      </c>
      <c r="E2" s="15" t="s">
        <v>191</v>
      </c>
      <c r="F2" s="15" t="s">
        <v>192</v>
      </c>
    </row>
    <row r="3" customFormat="false" ht="15" hidden="false" customHeight="false" outlineLevel="0" collapsed="false">
      <c r="A3" s="15" t="s">
        <v>193</v>
      </c>
      <c r="B3" s="15" t="s">
        <v>188</v>
      </c>
      <c r="C3" s="15" t="s">
        <v>194</v>
      </c>
      <c r="D3" s="15" t="s">
        <v>93</v>
      </c>
      <c r="E3" s="15" t="s">
        <v>195</v>
      </c>
      <c r="F3" s="15" t="s">
        <v>196</v>
      </c>
    </row>
    <row r="4" customFormat="false" ht="15" hidden="false" customHeight="false" outlineLevel="0" collapsed="false">
      <c r="A4" s="15" t="s">
        <v>197</v>
      </c>
      <c r="B4" s="15" t="s">
        <v>188</v>
      </c>
      <c r="C4" s="15" t="s">
        <v>198</v>
      </c>
      <c r="D4" s="15" t="s">
        <v>114</v>
      </c>
      <c r="E4" s="15" t="s">
        <v>195</v>
      </c>
      <c r="F4" s="15" t="s">
        <v>199</v>
      </c>
    </row>
    <row r="5" customFormat="false" ht="15" hidden="false" customHeight="false" outlineLevel="0" collapsed="false">
      <c r="A5" s="15" t="s">
        <v>200</v>
      </c>
      <c r="B5" s="15" t="s">
        <v>188</v>
      </c>
      <c r="C5" s="15" t="s">
        <v>201</v>
      </c>
      <c r="D5" s="15" t="s">
        <v>202</v>
      </c>
      <c r="E5" s="15" t="s">
        <v>191</v>
      </c>
      <c r="F5" s="15" t="s">
        <v>192</v>
      </c>
    </row>
    <row r="6" customFormat="false" ht="15" hidden="false" customHeight="false" outlineLevel="0" collapsed="false">
      <c r="A6" s="15" t="s">
        <v>203</v>
      </c>
      <c r="B6" s="15" t="s">
        <v>139</v>
      </c>
      <c r="C6" s="15" t="s">
        <v>204</v>
      </c>
      <c r="D6" s="15" t="s">
        <v>205</v>
      </c>
      <c r="E6" s="15" t="s">
        <v>191</v>
      </c>
      <c r="F6" s="15" t="s">
        <v>192</v>
      </c>
    </row>
    <row r="7" customFormat="false" ht="15" hidden="false" customHeight="false" outlineLevel="0" collapsed="false">
      <c r="A7" s="15" t="s">
        <v>206</v>
      </c>
      <c r="B7" s="15" t="s">
        <v>139</v>
      </c>
      <c r="C7" s="15" t="s">
        <v>207</v>
      </c>
      <c r="D7" s="15" t="s">
        <v>190</v>
      </c>
      <c r="E7" s="15" t="s">
        <v>195</v>
      </c>
      <c r="F7" s="15" t="s">
        <v>199</v>
      </c>
    </row>
    <row r="8" customFormat="false" ht="15" hidden="false" customHeight="false" outlineLevel="0" collapsed="false">
      <c r="A8" s="15" t="s">
        <v>208</v>
      </c>
      <c r="B8" s="15" t="s">
        <v>209</v>
      </c>
      <c r="C8" s="15" t="s">
        <v>210</v>
      </c>
      <c r="D8" s="15" t="s">
        <v>211</v>
      </c>
      <c r="E8" s="15" t="s">
        <v>212</v>
      </c>
      <c r="F8" s="15" t="s">
        <v>213</v>
      </c>
    </row>
    <row r="9" customFormat="false" ht="15" hidden="false" customHeight="false" outlineLevel="0" collapsed="false">
      <c r="A9" s="15" t="s">
        <v>214</v>
      </c>
      <c r="B9" s="15" t="s">
        <v>139</v>
      </c>
      <c r="C9" s="15" t="s">
        <v>215</v>
      </c>
      <c r="D9" s="15" t="s">
        <v>216</v>
      </c>
      <c r="E9" s="15" t="s">
        <v>212</v>
      </c>
      <c r="F9" s="15" t="s">
        <v>213</v>
      </c>
    </row>
    <row r="10" customFormat="false" ht="15" hidden="false" customHeight="false" outlineLevel="0" collapsed="false">
      <c r="A10" s="15" t="s">
        <v>217</v>
      </c>
      <c r="B10" s="15" t="s">
        <v>115</v>
      </c>
      <c r="C10" s="15" t="s">
        <v>218</v>
      </c>
      <c r="D10" s="15" t="s">
        <v>114</v>
      </c>
      <c r="E10" s="15" t="s">
        <v>195</v>
      </c>
      <c r="F10" s="15" t="s">
        <v>196</v>
      </c>
    </row>
    <row r="11" customFormat="false" ht="15" hidden="false" customHeight="false" outlineLevel="0" collapsed="false">
      <c r="A11" s="15" t="s">
        <v>219</v>
      </c>
      <c r="B11" s="15" t="s">
        <v>115</v>
      </c>
      <c r="C11" s="15" t="s">
        <v>220</v>
      </c>
      <c r="D11" s="15" t="s">
        <v>114</v>
      </c>
      <c r="E11" s="15" t="s">
        <v>191</v>
      </c>
      <c r="F11" s="15" t="s">
        <v>192</v>
      </c>
    </row>
    <row r="12" customFormat="false" ht="15" hidden="false" customHeight="false" outlineLevel="0" collapsed="false">
      <c r="A12" s="15" t="s">
        <v>221</v>
      </c>
      <c r="B12" s="15" t="s">
        <v>222</v>
      </c>
      <c r="C12" s="15" t="s">
        <v>223</v>
      </c>
      <c r="D12" s="15" t="s">
        <v>93</v>
      </c>
      <c r="E12" s="15" t="s">
        <v>212</v>
      </c>
      <c r="F12" s="15" t="s">
        <v>213</v>
      </c>
    </row>
    <row r="13" customFormat="false" ht="15" hidden="false" customHeight="false" outlineLevel="0" collapsed="false">
      <c r="A13" s="15" t="s">
        <v>224</v>
      </c>
      <c r="B13" s="15" t="s">
        <v>222</v>
      </c>
      <c r="C13" s="15" t="s">
        <v>225</v>
      </c>
      <c r="D13" s="15" t="s">
        <v>226</v>
      </c>
      <c r="E13" s="15" t="s">
        <v>212</v>
      </c>
      <c r="F13" s="15" t="s">
        <v>227</v>
      </c>
    </row>
    <row r="14" customFormat="false" ht="15" hidden="false" customHeight="false" outlineLevel="0" collapsed="false">
      <c r="A14" s="15" t="s">
        <v>228</v>
      </c>
      <c r="B14" s="15" t="s">
        <v>229</v>
      </c>
      <c r="C14" s="15" t="s">
        <v>230</v>
      </c>
      <c r="D14" s="15" t="s">
        <v>93</v>
      </c>
      <c r="E14" s="15" t="s">
        <v>191</v>
      </c>
      <c r="F14" s="15" t="s">
        <v>192</v>
      </c>
    </row>
    <row r="15" customFormat="false" ht="15" hidden="false" customHeight="false" outlineLevel="0" collapsed="false">
      <c r="A15" s="15" t="s">
        <v>231</v>
      </c>
      <c r="B15" s="15" t="s">
        <v>232</v>
      </c>
      <c r="C15" s="15" t="s">
        <v>233</v>
      </c>
      <c r="D15" s="15" t="s">
        <v>226</v>
      </c>
      <c r="E15" s="15" t="s">
        <v>191</v>
      </c>
      <c r="F15" s="15" t="s">
        <v>227</v>
      </c>
    </row>
    <row r="16" customFormat="false" ht="15" hidden="false" customHeight="false" outlineLevel="0" collapsed="false">
      <c r="A16" s="15" t="s">
        <v>234</v>
      </c>
      <c r="B16" s="15" t="s">
        <v>232</v>
      </c>
      <c r="C16" s="15" t="s">
        <v>235</v>
      </c>
      <c r="D16" s="15" t="s">
        <v>226</v>
      </c>
      <c r="E16" s="15" t="s">
        <v>212</v>
      </c>
      <c r="F16" s="15" t="s">
        <v>236</v>
      </c>
    </row>
    <row r="17" customFormat="false" ht="15" hidden="false" customHeight="false" outlineLevel="0" collapsed="false">
      <c r="A17" s="15" t="s">
        <v>237</v>
      </c>
      <c r="B17" s="15" t="s">
        <v>238</v>
      </c>
      <c r="C17" s="15" t="s">
        <v>239</v>
      </c>
      <c r="D17" s="15" t="s">
        <v>226</v>
      </c>
      <c r="E17" s="15" t="s">
        <v>212</v>
      </c>
      <c r="F17" s="15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25" t="s">
        <v>78</v>
      </c>
      <c r="B1" s="25" t="s">
        <v>241</v>
      </c>
      <c r="C1" s="25" t="s">
        <v>145</v>
      </c>
      <c r="D1" s="25" t="s">
        <v>242</v>
      </c>
      <c r="E1" s="25" t="s">
        <v>243</v>
      </c>
      <c r="F1" s="25" t="s">
        <v>244</v>
      </c>
    </row>
    <row r="2" customFormat="false" ht="15" hidden="false" customHeight="false" outlineLevel="0" collapsed="false">
      <c r="A2" s="21" t="s">
        <v>86</v>
      </c>
      <c r="B2" s="21" t="s">
        <v>245</v>
      </c>
      <c r="C2" s="21" t="s">
        <v>246</v>
      </c>
      <c r="D2" s="21" t="s">
        <v>247</v>
      </c>
      <c r="E2" s="21" t="s">
        <v>248</v>
      </c>
      <c r="F2" s="21" t="s">
        <v>249</v>
      </c>
    </row>
    <row r="3" customFormat="false" ht="28.35" hidden="false" customHeight="false" outlineLevel="0" collapsed="false">
      <c r="A3" s="21" t="s">
        <v>86</v>
      </c>
      <c r="B3" s="21" t="s">
        <v>250</v>
      </c>
      <c r="C3" s="21" t="s">
        <v>251</v>
      </c>
      <c r="D3" s="21" t="s">
        <v>252</v>
      </c>
      <c r="E3" s="21" t="s">
        <v>253</v>
      </c>
      <c r="F3" s="21" t="s">
        <v>254</v>
      </c>
    </row>
    <row r="4" customFormat="false" ht="28.35" hidden="false" customHeight="false" outlineLevel="0" collapsed="false">
      <c r="A4" s="21" t="s">
        <v>86</v>
      </c>
      <c r="B4" s="21" t="s">
        <v>255</v>
      </c>
      <c r="C4" s="21" t="s">
        <v>256</v>
      </c>
      <c r="D4" s="21" t="s">
        <v>257</v>
      </c>
      <c r="E4" s="21" t="s">
        <v>258</v>
      </c>
      <c r="F4" s="21" t="s">
        <v>259</v>
      </c>
    </row>
    <row r="5" customFormat="false" ht="15" hidden="false" customHeight="false" outlineLevel="0" collapsed="false">
      <c r="A5" s="21" t="s">
        <v>107</v>
      </c>
      <c r="B5" s="21" t="s">
        <v>260</v>
      </c>
      <c r="C5" s="21" t="s">
        <v>261</v>
      </c>
      <c r="D5" s="21" t="s">
        <v>262</v>
      </c>
      <c r="E5" s="21" t="s">
        <v>263</v>
      </c>
      <c r="F5" s="21" t="s">
        <v>264</v>
      </c>
    </row>
    <row r="6" customFormat="false" ht="15" hidden="false" customHeight="false" outlineLevel="0" collapsed="false">
      <c r="A6" s="21" t="s">
        <v>107</v>
      </c>
      <c r="B6" s="21" t="s">
        <v>265</v>
      </c>
      <c r="C6" s="21" t="s">
        <v>266</v>
      </c>
      <c r="D6" s="21" t="s">
        <v>252</v>
      </c>
      <c r="E6" s="21" t="s">
        <v>267</v>
      </c>
      <c r="F6" s="21" t="s">
        <v>268</v>
      </c>
    </row>
    <row r="7" customFormat="false" ht="15" hidden="false" customHeight="false" outlineLevel="0" collapsed="false">
      <c r="A7" s="21" t="s">
        <v>107</v>
      </c>
      <c r="B7" s="21" t="s">
        <v>269</v>
      </c>
      <c r="C7" s="21" t="s">
        <v>270</v>
      </c>
      <c r="D7" s="21" t="s">
        <v>271</v>
      </c>
      <c r="E7" s="21" t="s">
        <v>272</v>
      </c>
      <c r="F7" s="21" t="s">
        <v>273</v>
      </c>
    </row>
    <row r="8" customFormat="false" ht="15" hidden="false" customHeight="false" outlineLevel="0" collapsed="false">
      <c r="A8" s="21" t="s">
        <v>120</v>
      </c>
      <c r="B8" s="21" t="s">
        <v>274</v>
      </c>
      <c r="C8" s="21" t="s">
        <v>275</v>
      </c>
      <c r="D8" s="21" t="s">
        <v>252</v>
      </c>
      <c r="E8" s="21" t="s">
        <v>276</v>
      </c>
      <c r="F8" s="21" t="s">
        <v>277</v>
      </c>
    </row>
    <row r="9" customFormat="false" ht="15" hidden="false" customHeight="false" outlineLevel="0" collapsed="false">
      <c r="A9" s="21" t="s">
        <v>120</v>
      </c>
      <c r="B9" s="21" t="s">
        <v>278</v>
      </c>
      <c r="C9" s="21" t="s">
        <v>279</v>
      </c>
      <c r="D9" s="21" t="s">
        <v>252</v>
      </c>
      <c r="E9" s="21" t="s">
        <v>280</v>
      </c>
      <c r="F9" s="21" t="s">
        <v>281</v>
      </c>
    </row>
    <row r="10" customFormat="false" ht="15" hidden="false" customHeight="false" outlineLevel="0" collapsed="false">
      <c r="A10" s="21" t="s">
        <v>120</v>
      </c>
      <c r="B10" s="21" t="s">
        <v>282</v>
      </c>
      <c r="C10" s="21" t="s">
        <v>283</v>
      </c>
      <c r="D10" s="21" t="s">
        <v>262</v>
      </c>
      <c r="E10" s="21" t="s">
        <v>284</v>
      </c>
      <c r="F10" s="21" t="s">
        <v>285</v>
      </c>
    </row>
    <row r="11" customFormat="false" ht="15" hidden="false" customHeight="false" outlineLevel="0" collapsed="false">
      <c r="A11" s="21" t="s">
        <v>131</v>
      </c>
      <c r="B11" s="21" t="s">
        <v>286</v>
      </c>
      <c r="C11" s="21" t="s">
        <v>287</v>
      </c>
      <c r="D11" s="21" t="s">
        <v>257</v>
      </c>
      <c r="E11" s="21" t="s">
        <v>288</v>
      </c>
      <c r="F11" s="21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25" t="s">
        <v>290</v>
      </c>
      <c r="B1" s="25" t="s">
        <v>291</v>
      </c>
      <c r="C1" s="25" t="s">
        <v>78</v>
      </c>
      <c r="D1" s="25" t="s">
        <v>292</v>
      </c>
      <c r="E1" s="25" t="s">
        <v>182</v>
      </c>
      <c r="F1" s="25" t="s">
        <v>293</v>
      </c>
      <c r="G1" s="25" t="s">
        <v>294</v>
      </c>
      <c r="H1" s="25" t="s">
        <v>295</v>
      </c>
      <c r="I1" s="25" t="s">
        <v>296</v>
      </c>
    </row>
    <row r="2" customFormat="false" ht="15" hidden="false" customHeight="false" outlineLevel="0" collapsed="false">
      <c r="A2" s="15" t="s">
        <v>297</v>
      </c>
      <c r="B2" s="15" t="s">
        <v>298</v>
      </c>
      <c r="C2" s="15" t="s">
        <v>86</v>
      </c>
      <c r="D2" s="15" t="s">
        <v>100</v>
      </c>
      <c r="E2" s="15" t="s">
        <v>228</v>
      </c>
      <c r="F2" s="15" t="n">
        <v>118</v>
      </c>
      <c r="G2" s="15" t="n">
        <v>125</v>
      </c>
      <c r="H2" s="15" t="s">
        <v>299</v>
      </c>
      <c r="I2" s="15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13" t="s">
        <v>301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7" t="s">
        <v>302</v>
      </c>
      <c r="B2" s="27" t="s">
        <v>145</v>
      </c>
      <c r="C2" s="27" t="s">
        <v>303</v>
      </c>
      <c r="D2" s="27" t="s">
        <v>304</v>
      </c>
      <c r="E2" s="27" t="s">
        <v>305</v>
      </c>
      <c r="F2" s="27" t="s">
        <v>306</v>
      </c>
    </row>
    <row r="3" customFormat="false" ht="15" hidden="false" customHeight="false" outlineLevel="0" collapsed="false">
      <c r="A3" s="15" t="s">
        <v>307</v>
      </c>
      <c r="B3" s="15" t="s">
        <v>308</v>
      </c>
      <c r="C3" s="15" t="n">
        <v>0.25</v>
      </c>
      <c r="D3" s="8"/>
      <c r="E3" s="15"/>
      <c r="F3" s="15" t="s">
        <v>309</v>
      </c>
    </row>
    <row r="4" customFormat="false" ht="15" hidden="false" customHeight="false" outlineLevel="0" collapsed="false">
      <c r="A4" s="15" t="s">
        <v>310</v>
      </c>
      <c r="B4" s="15" t="s">
        <v>311</v>
      </c>
      <c r="C4" s="15" t="n">
        <v>0.2</v>
      </c>
      <c r="D4" s="8"/>
      <c r="E4" s="15"/>
      <c r="F4" s="15" t="s">
        <v>312</v>
      </c>
    </row>
    <row r="5" customFormat="false" ht="15" hidden="false" customHeight="false" outlineLevel="0" collapsed="false">
      <c r="A5" s="15" t="s">
        <v>313</v>
      </c>
      <c r="B5" s="15" t="s">
        <v>314</v>
      </c>
      <c r="C5" s="15" t="n">
        <v>0.15</v>
      </c>
      <c r="D5" s="8"/>
      <c r="E5" s="15"/>
      <c r="F5" s="15" t="s">
        <v>315</v>
      </c>
    </row>
    <row r="6" customFormat="false" ht="15" hidden="false" customHeight="false" outlineLevel="0" collapsed="false">
      <c r="A6" s="15" t="s">
        <v>316</v>
      </c>
      <c r="B6" s="15" t="s">
        <v>317</v>
      </c>
      <c r="C6" s="15" t="n">
        <v>0.2</v>
      </c>
      <c r="D6" s="8"/>
      <c r="E6" s="15"/>
      <c r="F6" s="15" t="s">
        <v>318</v>
      </c>
    </row>
    <row r="7" customFormat="false" ht="15" hidden="false" customHeight="false" outlineLevel="0" collapsed="false">
      <c r="A7" s="15" t="s">
        <v>319</v>
      </c>
      <c r="B7" s="15" t="s">
        <v>320</v>
      </c>
      <c r="C7" s="15" t="n">
        <v>0.2</v>
      </c>
      <c r="D7" s="8"/>
      <c r="E7" s="15"/>
      <c r="F7" s="15" t="s">
        <v>321</v>
      </c>
    </row>
    <row r="9" customFormat="false" ht="15" hidden="false" customHeight="false" outlineLevel="0" collapsed="false">
      <c r="A9" s="0" t="s">
        <v>322</v>
      </c>
      <c r="C9" s="0" t="n">
        <f aca="false">SUM(C3:C7)</f>
        <v>1</v>
      </c>
      <c r="D9" s="28" t="n">
        <f aca="false">SUM(D3:D7)</f>
        <v>0</v>
      </c>
    </row>
    <row r="11" customFormat="false" ht="15" hidden="false" customHeight="false" outlineLevel="0" collapsed="false">
      <c r="A11" s="7" t="s">
        <v>323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25" t="s">
        <v>324</v>
      </c>
      <c r="B1" s="25" t="s">
        <v>292</v>
      </c>
      <c r="C1" s="25" t="s">
        <v>325</v>
      </c>
      <c r="D1" s="25" t="s">
        <v>78</v>
      </c>
      <c r="E1" s="25" t="s">
        <v>326</v>
      </c>
      <c r="F1" s="25" t="s">
        <v>327</v>
      </c>
    </row>
    <row r="2" customFormat="false" ht="15" hidden="false" customHeight="false" outlineLevel="0" collapsed="false">
      <c r="A2" s="15" t="s">
        <v>328</v>
      </c>
      <c r="B2" s="15" t="s">
        <v>329</v>
      </c>
      <c r="C2" s="29" t="s">
        <v>330</v>
      </c>
      <c r="D2" s="15" t="s">
        <v>86</v>
      </c>
      <c r="E2" s="15" t="s">
        <v>331</v>
      </c>
      <c r="F2" s="15" t="s">
        <v>332</v>
      </c>
    </row>
    <row r="3" customFormat="false" ht="15" hidden="false" customHeight="false" outlineLevel="0" collapsed="false">
      <c r="A3" s="15" t="s">
        <v>100</v>
      </c>
      <c r="B3" s="15" t="s">
        <v>333</v>
      </c>
      <c r="C3" s="29" t="s">
        <v>330</v>
      </c>
      <c r="D3" s="15" t="s">
        <v>86</v>
      </c>
      <c r="E3" s="15" t="s">
        <v>334</v>
      </c>
      <c r="F3" s="15" t="s">
        <v>332</v>
      </c>
    </row>
    <row r="4" customFormat="false" ht="15" hidden="false" customHeight="false" outlineLevel="0" collapsed="false">
      <c r="A4" s="15" t="s">
        <v>106</v>
      </c>
      <c r="B4" s="15" t="s">
        <v>335</v>
      </c>
      <c r="C4" s="29" t="s">
        <v>330</v>
      </c>
      <c r="D4" s="15" t="s">
        <v>336</v>
      </c>
      <c r="E4" s="15" t="s">
        <v>337</v>
      </c>
      <c r="F4" s="15" t="s">
        <v>332</v>
      </c>
    </row>
    <row r="5" customFormat="false" ht="15" hidden="false" customHeight="false" outlineLevel="0" collapsed="false">
      <c r="A5" s="15" t="s">
        <v>137</v>
      </c>
      <c r="B5" s="15" t="s">
        <v>338</v>
      </c>
      <c r="C5" s="18" t="s">
        <v>271</v>
      </c>
      <c r="D5" s="15" t="s">
        <v>131</v>
      </c>
      <c r="E5" s="15" t="s">
        <v>339</v>
      </c>
      <c r="F5" s="15" t="s">
        <v>340</v>
      </c>
    </row>
    <row r="6" customFormat="false" ht="15" hidden="false" customHeight="false" outlineLevel="0" collapsed="false">
      <c r="A6" s="15" t="s">
        <v>114</v>
      </c>
      <c r="B6" s="15" t="s">
        <v>341</v>
      </c>
      <c r="C6" s="18" t="s">
        <v>271</v>
      </c>
      <c r="D6" s="15" t="s">
        <v>107</v>
      </c>
      <c r="E6" s="15" t="s">
        <v>342</v>
      </c>
      <c r="F6" s="15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5" hidden="false" customHeight="false" outlineLevel="0" collapsed="false">
      <c r="A1" s="25" t="s">
        <v>344</v>
      </c>
      <c r="B1" s="25" t="s">
        <v>290</v>
      </c>
      <c r="C1" s="25" t="s">
        <v>78</v>
      </c>
      <c r="D1" s="25" t="s">
        <v>292</v>
      </c>
      <c r="E1" s="25" t="s">
        <v>293</v>
      </c>
      <c r="F1" s="25" t="s">
        <v>345</v>
      </c>
      <c r="G1" s="25" t="s">
        <v>346</v>
      </c>
      <c r="H1" s="25" t="s">
        <v>347</v>
      </c>
      <c r="I1" s="25" t="s">
        <v>296</v>
      </c>
      <c r="J1" s="25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2026-02-26T10:01:54Z</dcterms:created>
  <dc:creator>openpyxl</dc:creator>
  <dc:description/>
  <dc:language>en-US</dc:language>
  <cp:lastModifiedBy/>
  <dcterms:modified xsi:type="dcterms:W3CDTF">2026-02-26T10:01:55Z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