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MAIN_TAXONOMY" sheetId="1" state="visible" r:id="rId3"/>
    <sheet name="PROMPT_SCORING" sheetId="2" state="visible" r:id="rId4"/>
    <sheet name="FRAMEWORK_MATRIX" sheetId="3" state="visible" r:id="rId5"/>
    <sheet name="PROMPT_TEMPLATE" sheetId="4" state="visible" r:id="rId6"/>
    <sheet name="GOALS_REFERENCE" sheetId="5" state="visible" r:id="rId7"/>
    <sheet name="EXECUTION_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<sst xmlns="http://schemas.openxmlformats.org/spreadsheetml/2006/main" count="439" uniqueCount="316">
  <si>
    <t xml:space="preserve">DOMAIN</t>
  </si>
  <si>
    <t xml:space="preserve">SUBDOMAIN</t>
  </si>
  <si>
    <t xml:space="preserve">ASSUMPTIONS</t>
  </si>
  <si>
    <t xml:space="preserve">OBSERVATIONS</t>
  </si>
  <si>
    <t xml:space="preserve">PROMPT_STRUCTURE_REQUIREMENTS</t>
  </si>
  <si>
    <t xml:space="preserve">KNOWLEDGE_SOURCE</t>
  </si>
  <si>
    <t xml:space="preserve">RISK_LEVEL</t>
  </si>
  <si>
    <t xml:space="preserve">GOAL_FIT</t>
  </si>
  <si>
    <t xml:space="preserve">LEGAL</t>
  </si>
  <si>
    <t xml:space="preserve">Litigation</t>
  </si>
  <si>
    <t xml:space="preserve">Court deadlines exist; Opposing counsel is competent; Judge follows precedent</t>
  </si>
  <si>
    <t xml:space="preserve">Federal cases require heightened scrutiny; Evidence rules vary by jurisdiction</t>
  </si>
  <si>
    <t xml:space="preserve">Role: Legal analyst | Task: MECE decomposition | Format: Issue-Rule-Application-Conclusion</t>
  </si>
  <si>
    <t xml:space="preserve">CourtListener, Westlaw, Case files</t>
  </si>
  <si>
    <t xml:space="preserve">RED</t>
  </si>
  <si>
    <t xml:space="preserve">G1,G2,G3</t>
  </si>
  <si>
    <t xml:space="preserve">Contract</t>
  </si>
  <si>
    <t xml:space="preserve">Parties have capacity; Terms are enforceable; Consideration exists</t>
  </si>
  <si>
    <t xml:space="preserve">Ambiguity favors drafter; Integration clauses matter</t>
  </si>
  <si>
    <t xml:space="preserve">Role: Contract analyst | Task: Clause extraction | Format: Provision-Implication-Risk</t>
  </si>
  <si>
    <t xml:space="preserve">Contract database, Precedent library</t>
  </si>
  <si>
    <t xml:space="preserve">YELLOW</t>
  </si>
  <si>
    <t xml:space="preserve">G2</t>
  </si>
  <si>
    <t xml:space="preserve">Compliance</t>
  </si>
  <si>
    <t xml:space="preserve">Regulations are current; Jurisdiction is clear; Penalties are known</t>
  </si>
  <si>
    <t xml:space="preserve">Regulatory landscape shifts; Enforcement varies</t>
  </si>
  <si>
    <t xml:space="preserve">Role: Compliance officer | Task: Gap analysis | Format: Requirement-Status-Action</t>
  </si>
  <si>
    <t xml:space="preserve">GovInfo, Federal Register</t>
  </si>
  <si>
    <t xml:space="preserve">G2,G3</t>
  </si>
  <si>
    <t xml:space="preserve">Custody/Family</t>
  </si>
  <si>
    <t xml:space="preserve">Best interest standard applies; Both parties have rights; Court has discretion</t>
  </si>
  <si>
    <t xml:space="preserve">Emotional factors influence; Mediation preferred</t>
  </si>
  <si>
    <t xml:space="preserve">Role: Family law specialist | Task: Factor analysis | Format: Factor-Evidence-Weight</t>
  </si>
  <si>
    <t xml:space="preserve">State statutes, Local rules</t>
  </si>
  <si>
    <t xml:space="preserve">G3</t>
  </si>
  <si>
    <t xml:space="preserve">BUSINESS</t>
  </si>
  <si>
    <t xml:space="preserve">Revenue</t>
  </si>
  <si>
    <t xml:space="preserve">Market exists; Customer has budget; Product-market fit achievable</t>
  </si>
  <si>
    <t xml:space="preserve">CAC/LTV ratios vary by channel; Churn impacts growth</t>
  </si>
  <si>
    <t xml:space="preserve">Role: Revenue strategist | Task: JTBD analysis | Format: Segment-Need-Solution-Price</t>
  </si>
  <si>
    <t xml:space="preserve">Market research, CRM data</t>
  </si>
  <si>
    <t xml:space="preserve">GREEN</t>
  </si>
  <si>
    <t xml:space="preserve">G5</t>
  </si>
  <si>
    <t xml:space="preserve">Operations</t>
  </si>
  <si>
    <t xml:space="preserve">Processes are documented; Staff can execute; Resources available</t>
  </si>
  <si>
    <t xml:space="preserve">Bottlenecks shift; Automation ROI varies</t>
  </si>
  <si>
    <t xml:space="preserve">Role: Operations analyst | Task: TOC analysis | Format: Constraint-Impact-Mitigation</t>
  </si>
  <si>
    <t xml:space="preserve">Internal systems, Process docs</t>
  </si>
  <si>
    <t xml:space="preserve">Strategy</t>
  </si>
  <si>
    <t xml:space="preserve">Competitive landscape is known; Resources are finite; Time horizons matter</t>
  </si>
  <si>
    <t xml:space="preserve">First-mover advantage varies; Disruption is constant</t>
  </si>
  <si>
    <t xml:space="preserve">Role: Strategy consultant | Task: Wardley mapping | Format: Position-Move-Outcome</t>
  </si>
  <si>
    <t xml:space="preserve">Industry reports, Competitor data</t>
  </si>
  <si>
    <t xml:space="preserve">Finance</t>
  </si>
  <si>
    <t xml:space="preserve">Cash flow is measurable; Assumptions are testable; Risks are quantifiable</t>
  </si>
  <si>
    <t xml:space="preserve">Forecasts are wrong; Scenarios are essential</t>
  </si>
  <si>
    <t xml:space="preserve">Role: Financial analyst | Task: Scenario modeling | Format: Assumption-Driver-Output</t>
  </si>
  <si>
    <t xml:space="preserve">Financial statements, Market data</t>
  </si>
  <si>
    <t xml:space="preserve">TECHNICAL</t>
  </si>
  <si>
    <t xml:space="preserve">Code_Generation</t>
  </si>
  <si>
    <t xml:space="preserve">Requirements are clear; Stack is chosen; Tests are needed</t>
  </si>
  <si>
    <t xml:space="preserve">Edge cases break systems; Technical debt compounds</t>
  </si>
  <si>
    <t xml:space="preserve">Role: Senior engineer | Task: Implementation | Format: Input-Process-Output-Tests</t>
  </si>
  <si>
    <t xml:space="preserve">Docs, Stack Overflow, GitHub</t>
  </si>
  <si>
    <t xml:space="preserve">Architecture</t>
  </si>
  <si>
    <t xml:space="preserve">Scale requirements known; Constraints identified; Trade-offs accepted</t>
  </si>
  <si>
    <t xml:space="preserve">Premature optimization kills; Simplicity wins</t>
  </si>
  <si>
    <t xml:space="preserve">Role: Architect | Task: System design | Format: Component-Interface-Dependency</t>
  </si>
  <si>
    <t xml:space="preserve">Architecture patterns, Cloud docs</t>
  </si>
  <si>
    <t xml:space="preserve">Debugging</t>
  </si>
  <si>
    <t xml:space="preserve">Error is reproducible; Logs exist; Root cause is findable</t>
  </si>
  <si>
    <t xml:space="preserve">Heisenbugs exist; Environment matters</t>
  </si>
  <si>
    <t xml:space="preserve">Role: Debugger | Task: Root cause analysis | Format: Symptom-Hypothesis-Test-Fix</t>
  </si>
  <si>
    <t xml:space="preserve">Logs, Stack traces, Monitoring</t>
  </si>
  <si>
    <t xml:space="preserve">FAMILY</t>
  </si>
  <si>
    <t xml:space="preserve">Relationships</t>
  </si>
  <si>
    <t xml:space="preserve">Communication is possible; Goodwill exists; Change is wanted</t>
  </si>
  <si>
    <t xml:space="preserve">Emotions override logic; History matters</t>
  </si>
  <si>
    <t xml:space="preserve">Role: Advisor | Task: Perspective taking | Format: Situation-Feeling-Need-Request</t>
  </si>
  <si>
    <t xml:space="preserve">Context provided by user</t>
  </si>
  <si>
    <t xml:space="preserve">G4</t>
  </si>
  <si>
    <t xml:space="preserve">Health</t>
  </si>
  <si>
    <t xml:space="preserve">Medical advice requires professionals; Data is accurate; Lifestyle is modifiable</t>
  </si>
  <si>
    <t xml:space="preserve">Compliance varies; Motivation fluctuates</t>
  </si>
  <si>
    <t xml:space="preserve">Role: Health coach | Task: Behavior design | Format: Goal-Barrier-Strategy-Metric</t>
  </si>
  <si>
    <t xml:space="preserve">Medical literature, User data</t>
  </si>
  <si>
    <t xml:space="preserve">Education</t>
  </si>
  <si>
    <t xml:space="preserve">Learning capacity exists; Time is available; Methods vary</t>
  </si>
  <si>
    <t xml:space="preserve">Spaced repetition works; Active recall beats passive</t>
  </si>
  <si>
    <t xml:space="preserve">Role: Tutor | Task: Skill building | Format: Concept-Example-Practice-Feedback</t>
  </si>
  <si>
    <t xml:space="preserve">Educational resources</t>
  </si>
  <si>
    <t xml:space="preserve">RESEARCH</t>
  </si>
  <si>
    <t xml:space="preserve">Literature_Review</t>
  </si>
  <si>
    <t xml:space="preserve">Sources are credible; Synthesis is possible; Gaps are identifiable</t>
  </si>
  <si>
    <t xml:space="preserve">Publication bias exists; Replication matters</t>
  </si>
  <si>
    <t xml:space="preserve">Role: Research analyst | Task: Systematic review | Format: Theme-Evidence-Gap-Implication</t>
  </si>
  <si>
    <t xml:space="preserve">Academic databases, Papers</t>
  </si>
  <si>
    <t xml:space="preserve">Data_Analysis</t>
  </si>
  <si>
    <t xml:space="preserve">Data is clean; Methods are appropriate; Results are interpretable</t>
  </si>
  <si>
    <t xml:space="preserve">Correlation not causation; P-hacking is real</t>
  </si>
  <si>
    <t xml:space="preserve">Role: Data scientist | Task: Analysis | Format: Question-Method-Finding-Limitation</t>
  </si>
  <si>
    <t xml:space="preserve">Datasets, Statistical tools</t>
  </si>
  <si>
    <t xml:space="preserve">DIMENSION</t>
  </si>
  <si>
    <t xml:space="preserve">DESCRIPTION</t>
  </si>
  <si>
    <t xml:space="preserve">SCORING_CRITERIA</t>
  </si>
  <si>
    <t xml:space="preserve">WEIGHT</t>
  </si>
  <si>
    <t xml:space="preserve">YOUR_SCORE</t>
  </si>
  <si>
    <t xml:space="preserve">WEIGHTED_SCORE</t>
  </si>
  <si>
    <t xml:space="preserve">1. Goal Alignment</t>
  </si>
  <si>
    <t xml:space="preserve">Does prompt advance G1-G5?</t>
  </si>
  <si>
    <t xml:space="preserve">10=Direct hit, 5=Tangential, 1=No connection</t>
  </si>
  <si>
    <t xml:space="preserve">2. Intent Clarity</t>
  </si>
  <si>
    <t xml:space="preserve">Is the task objective explicit?</t>
  </si>
  <si>
    <t xml:space="preserve">10=Crystal clear, 5=Ambiguous, 1=Undefined</t>
  </si>
  <si>
    <t xml:space="preserve">3. Domain Specification</t>
  </si>
  <si>
    <t xml:space="preserve">Is knowledge domain defined?</t>
  </si>
  <si>
    <t xml:space="preserve">10=Expert-level, 5=General, 1=Wrong domain</t>
  </si>
  <si>
    <t xml:space="preserve">4. Demand Precision</t>
  </si>
  <si>
    <t xml:space="preserve">Are requirements specific?</t>
  </si>
  <si>
    <t xml:space="preserve">10=Measurable outputs, 5=Vague, 1=Open-ended</t>
  </si>
  <si>
    <t xml:space="preserve">5. Assumption Load</t>
  </si>
  <si>
    <t xml:space="preserve">How many unverified assumptions?</t>
  </si>
  <si>
    <t xml:space="preserve">10=0 assumptions, 5=1-2, 1=3+ assumptions</t>
  </si>
  <si>
    <t xml:space="preserve">6. Framework Fit</t>
  </si>
  <si>
    <t xml:space="preserve">Right reasoning framework?</t>
  </si>
  <si>
    <t xml:space="preserve">10=Perfect match, 5=Partial, 1=Mismatch</t>
  </si>
  <si>
    <t xml:space="preserve">7. Output Format</t>
  </si>
  <si>
    <t xml:space="preserve">Is deliverable format defined?</t>
  </si>
  <si>
    <t xml:space="preserve">10=Template provided, 5=General format, 1=Undefined</t>
  </si>
  <si>
    <t xml:space="preserve">8. Time Block Fit</t>
  </si>
  <si>
    <t xml:space="preserve">Achievable in stated block?</t>
  </si>
  <si>
    <t xml:space="preserve">10=Perfect fit, 5=Stretch, 1=Impossible</t>
  </si>
  <si>
    <t xml:space="preserve">9. Zone Compliance</t>
  </si>
  <si>
    <t xml:space="preserve">RED/YELLOW/GREEN appropriate?</t>
  </si>
  <si>
    <t xml:space="preserve">10=Correct zone, 5=Edge case, 1=Wrong zone</t>
  </si>
  <si>
    <t xml:space="preserve">10. Leverage Factor</t>
  </si>
  <si>
    <t xml:space="preserve">Does output compound future work?</t>
  </si>
  <si>
    <t xml:space="preserve">10=High leverage, 5=One-time, 1=Dead end</t>
  </si>
  <si>
    <t xml:space="preserve">TOTAL SCORE</t>
  </si>
  <si>
    <t xml:space="preserve">SCORE GATES:</t>
  </si>
  <si>
    <t xml:space="preserve">&lt; 65: REJECT - Rewrite prompt</t>
  </si>
  <si>
    <t xml:space="preserve">65-95: REFINE - Address weak dimensions</t>
  </si>
  <si>
    <t xml:space="preserve">95-115: EXECUTE - Proceed with caution</t>
  </si>
  <si>
    <t xml:space="preserve">115+: SHIP IT - Full speed (MAX=130)</t>
  </si>
  <si>
    <t xml:space="preserve">FRAMEWORK</t>
  </si>
  <si>
    <t xml:space="preserve">BEST_FOR</t>
  </si>
  <si>
    <t xml:space="preserve">COMPLEXITY</t>
  </si>
  <si>
    <t xml:space="preserve">TIME_BLOCK</t>
  </si>
  <si>
    <t xml:space="preserve">Chain-of-Thought (CoT)</t>
  </si>
  <si>
    <t xml:space="preserve">Step-by-step reasoning chain</t>
  </si>
  <si>
    <t xml:space="preserve">Complex reasoning, math, logic</t>
  </si>
  <si>
    <t xml:space="preserve">G2,G5</t>
  </si>
  <si>
    <t xml:space="preserve">Medium</t>
  </si>
  <si>
    <t xml:space="preserve">10-30min</t>
  </si>
  <si>
    <t xml:space="preserve">Tree-of-Thought (ToT)</t>
  </si>
  <si>
    <t xml:space="preserve">Branching exploration paths</t>
  </si>
  <si>
    <t xml:space="preserve">Strategy with multiple options</t>
  </si>
  <si>
    <t xml:space="preserve">High</t>
  </si>
  <si>
    <t xml:space="preserve">30-60min</t>
  </si>
  <si>
    <t xml:space="preserve">ReAct</t>
  </si>
  <si>
    <t xml:space="preserve">Reasoning + Action loops</t>
  </si>
  <si>
    <t xml:space="preserve">Tool use, agentic tasks</t>
  </si>
  <si>
    <t xml:space="preserve">30min</t>
  </si>
  <si>
    <t xml:space="preserve">Self-Consistency</t>
  </si>
  <si>
    <t xml:space="preserve">Multiple paths, vote on answer</t>
  </si>
  <si>
    <t xml:space="preserve">High-stakes verification</t>
  </si>
  <si>
    <t xml:space="preserve">MECE</t>
  </si>
  <si>
    <t xml:space="preserve">Mutually Exclusive, Collectively Exhaustive</t>
  </si>
  <si>
    <t xml:space="preserve">Decomposition, analysis</t>
  </si>
  <si>
    <t xml:space="preserve">G1,G2,G5</t>
  </si>
  <si>
    <t xml:space="preserve">First Principles</t>
  </si>
  <si>
    <t xml:space="preserve">Break to fundamentals, rebuild</t>
  </si>
  <si>
    <t xml:space="preserve">Challenge assumptions</t>
  </si>
  <si>
    <t xml:space="preserve">OODA Loop</t>
  </si>
  <si>
    <t xml:space="preserve">Observe-Orient-Decide-Act</t>
  </si>
  <si>
    <t xml:space="preserve">Rapid decisions, deadlines</t>
  </si>
  <si>
    <t xml:space="preserve">G3,G5</t>
  </si>
  <si>
    <t xml:space="preserve">Low</t>
  </si>
  <si>
    <t xml:space="preserve">5-10min</t>
  </si>
  <si>
    <t xml:space="preserve">5 Whys</t>
  </si>
  <si>
    <t xml:space="preserve">Root cause via why chain</t>
  </si>
  <si>
    <t xml:space="preserve">Debugging, problem diagnosis</t>
  </si>
  <si>
    <t xml:space="preserve">G4,G5</t>
  </si>
  <si>
    <t xml:space="preserve">Wardley Mapping</t>
  </si>
  <si>
    <t xml:space="preserve">Value chain positioning</t>
  </si>
  <si>
    <t xml:space="preserve">Strategic positioning</t>
  </si>
  <si>
    <t xml:space="preserve">Jobs-to-be-Done</t>
  </si>
  <si>
    <t xml:space="preserve">Customer motivation analysis</t>
  </si>
  <si>
    <t xml:space="preserve">Product, revenue</t>
  </si>
  <si>
    <t xml:space="preserve">Inversion</t>
  </si>
  <si>
    <t xml:space="preserve">What would cause failure?</t>
  </si>
  <si>
    <t xml:space="preserve">Risk mitigation</t>
  </si>
  <si>
    <t xml:space="preserve">Pre-Mortem</t>
  </si>
  <si>
    <t xml:space="preserve">Assume failure, work backward</t>
  </si>
  <si>
    <t xml:space="preserve">Project planning</t>
  </si>
  <si>
    <t xml:space="preserve">ALL</t>
  </si>
  <si>
    <t xml:space="preserve">10min</t>
  </si>
  <si>
    <t xml:space="preserve">Scenario Planning</t>
  </si>
  <si>
    <t xml:space="preserve">Multiple future states</t>
  </si>
  <si>
    <t xml:space="preserve">Uncertainty navigation</t>
  </si>
  <si>
    <t xml:space="preserve">IRAC</t>
  </si>
  <si>
    <t xml:space="preserve">Issue-Rule-Application-Conclusion</t>
  </si>
  <si>
    <t xml:space="preserve">Legal analysis</t>
  </si>
  <si>
    <t xml:space="preserve">CREAC</t>
  </si>
  <si>
    <t xml:space="preserve">Conclusion-Rule-Explanation-Application-Conclusion</t>
  </si>
  <si>
    <t xml:space="preserve">Legal writing</t>
  </si>
  <si>
    <t xml:space="preserve">RAG</t>
  </si>
  <si>
    <t xml:space="preserve">Retrieval-Augmented Generation</t>
  </si>
  <si>
    <t xml:space="preserve">Current info, documents</t>
  </si>
  <si>
    <t xml:space="preserve">Few-Shot</t>
  </si>
  <si>
    <t xml:space="preserve">Examples guide output</t>
  </si>
  <si>
    <t xml:space="preserve">Format standardization</t>
  </si>
  <si>
    <t xml:space="preserve">5min</t>
  </si>
  <si>
    <t xml:space="preserve">Role-Play</t>
  </si>
  <si>
    <t xml:space="preserve">Persona activation</t>
  </si>
  <si>
    <t xml:space="preserve">Domain expertise</t>
  </si>
  <si>
    <t xml:space="preserve">1min</t>
  </si>
  <si>
    <t xml:space="preserve">SECTION</t>
  </si>
  <si>
    <t xml:space="preserve">COMPONENT</t>
  </si>
  <si>
    <t xml:space="preserve">EXAMPLE</t>
  </si>
  <si>
    <t xml:space="preserve">REQUIRED</t>
  </si>
  <si>
    <t xml:space="preserve">1. PROFILE</t>
  </si>
  <si>
    <t xml:space="preserve">Personality</t>
  </si>
  <si>
    <t xml:space="preserve">Role/expertise assignment</t>
  </si>
  <si>
    <t xml:space="preserve">You are a Principal Legal Analyst with 20 years federal court experience</t>
  </si>
  <si>
    <t xml:space="preserve">YES</t>
  </si>
  <si>
    <t xml:space="preserve">Tone</t>
  </si>
  <si>
    <t xml:space="preserve">Communication style</t>
  </si>
  <si>
    <t xml:space="preserve">Professional, direct, McKinsey-grade</t>
  </si>
  <si>
    <t xml:space="preserve">Constraints</t>
  </si>
  <si>
    <t xml:space="preserve">Behavioral boundaries</t>
  </si>
  <si>
    <t xml:space="preserve">Never provide legal advice; Always cite sources</t>
  </si>
  <si>
    <t xml:space="preserve">2. INSTRUCTION</t>
  </si>
  <si>
    <t xml:space="preserve">Intent</t>
  </si>
  <si>
    <t xml:space="preserve">Primary objective</t>
  </si>
  <si>
    <t xml:space="preserve">Analyze the motion to dismiss for procedural defects</t>
  </si>
  <si>
    <t xml:space="preserve">Domain</t>
  </si>
  <si>
    <t xml:space="preserve">Knowledge area</t>
  </si>
  <si>
    <t xml:space="preserve">Federal civil procedure, 9th Circuit precedent</t>
  </si>
  <si>
    <t xml:space="preserve">Demand</t>
  </si>
  <si>
    <t xml:space="preserve">Specific requirements</t>
  </si>
  <si>
    <t xml:space="preserve">Identify 3 strongest arguments, rank by probability of success</t>
  </si>
  <si>
    <t xml:space="preserve">Environment</t>
  </si>
  <si>
    <t xml:space="preserve">Context/constraints</t>
  </si>
  <si>
    <t xml:space="preserve">Deadline: 48 hours; Budget: $5K; Audience: Senior partner</t>
  </si>
  <si>
    <t xml:space="preserve">CONDITIONAL</t>
  </si>
  <si>
    <t xml:space="preserve">3. KNOWLEDGE</t>
  </si>
  <si>
    <t xml:space="preserve">RAG Source</t>
  </si>
  <si>
    <t xml:space="preserve">External knowledge</t>
  </si>
  <si>
    <t xml:space="preserve">[Insert retrieved documents here]</t>
  </si>
  <si>
    <t xml:space="preserve">Examples</t>
  </si>
  <si>
    <t xml:space="preserve">Few-shot demonstrations</t>
  </si>
  <si>
    <t xml:space="preserve">Example 1: [Input] -&gt; [Output]</t>
  </si>
  <si>
    <t xml:space="preserve">Facts</t>
  </si>
  <si>
    <t xml:space="preserve">Grounding information</t>
  </si>
  <si>
    <t xml:space="preserve">Case filed: 2024-01-15; Jurisdiction: NDCA</t>
  </si>
  <si>
    <t xml:space="preserve">4. REASONING</t>
  </si>
  <si>
    <t xml:space="preserve">Framework</t>
  </si>
  <si>
    <t xml:space="preserve">Reasoning method</t>
  </si>
  <si>
    <t xml:space="preserve">Use MECE decomposition then IRAC analysis</t>
  </si>
  <si>
    <t xml:space="preserve">Chain</t>
  </si>
  <si>
    <t xml:space="preserve">Step specification</t>
  </si>
  <si>
    <t xml:space="preserve">Step 1: Identify issues; Step 2: Apply rules; Step 3: Conclude</t>
  </si>
  <si>
    <t xml:space="preserve">Tools</t>
  </si>
  <si>
    <t xml:space="preserve">External capabilities</t>
  </si>
  <si>
    <t xml:space="preserve">Search CourtListener for similar cases; Calculate statute of limitations</t>
  </si>
  <si>
    <t xml:space="preserve">5. OUTPUT</t>
  </si>
  <si>
    <t xml:space="preserve">Format</t>
  </si>
  <si>
    <t xml:space="preserve">Structure requirement</t>
  </si>
  <si>
    <t xml:space="preserve">Markdown with H2 headers; Bullet points for factors</t>
  </si>
  <si>
    <t xml:space="preserve">Length</t>
  </si>
  <si>
    <t xml:space="preserve">Size constraint</t>
  </si>
  <si>
    <t xml:space="preserve">500-750 words; 3-5 key points</t>
  </si>
  <si>
    <t xml:space="preserve">Validation</t>
  </si>
  <si>
    <t xml:space="preserve">Self-check</t>
  </si>
  <si>
    <t xml:space="preserve">Verify all citations exist; Check for logical consistency</t>
  </si>
  <si>
    <t xml:space="preserve">6. META</t>
  </si>
  <si>
    <t xml:space="preserve">Goal Tie-In</t>
  </si>
  <si>
    <t xml:space="preserve">Strategic alignment</t>
  </si>
  <si>
    <t xml:space="preserve">Advances G2: Beat federal charges</t>
  </si>
  <si>
    <t xml:space="preserve">Time Block</t>
  </si>
  <si>
    <t xml:space="preserve">Execution time</t>
  </si>
  <si>
    <t xml:space="preserve">10-minute block</t>
  </si>
  <si>
    <t xml:space="preserve">Zone</t>
  </si>
  <si>
    <t xml:space="preserve">Risk classification</t>
  </si>
  <si>
    <t xml:space="preserve">YELLOW - Requires review before filing</t>
  </si>
  <si>
    <t xml:space="preserve">GOAL_ID</t>
  </si>
  <si>
    <t xml:space="preserve">GOAL</t>
  </si>
  <si>
    <t xml:space="preserve">PRIORITY</t>
  </si>
  <si>
    <t xml:space="preserve">DOMAIN_PRIMARY</t>
  </si>
  <si>
    <t xml:space="preserve">SUCCESS_METRIC</t>
  </si>
  <si>
    <t xml:space="preserve">G1</t>
  </si>
  <si>
    <t xml:space="preserve">Beat bankruptcy/Joel/Jordan</t>
  </si>
  <si>
    <t xml:space="preserve">CRITICAL</t>
  </si>
  <si>
    <t xml:space="preserve">Case dismissed or favorable settlement</t>
  </si>
  <si>
    <t xml:space="preserve">Beat federal charges</t>
  </si>
  <si>
    <t xml:space="preserve">Acquittal or charges dropped</t>
  </si>
  <si>
    <t xml:space="preserve">Beat Carolyn (custody/warrant/license)</t>
  </si>
  <si>
    <t xml:space="preserve">LEGAL/FAMILY</t>
  </si>
  <si>
    <t xml:space="preserve">Full custody, warrants quashed, license restored</t>
  </si>
  <si>
    <t xml:space="preserve">Family happiness</t>
  </si>
  <si>
    <t xml:space="preserve">HIGH</t>
  </si>
  <si>
    <t xml:space="preserve">Quality time, relationship health metrics</t>
  </si>
  <si>
    <t xml:space="preserve">$500K/mo in 90 days (pet+dental)</t>
  </si>
  <si>
    <t xml:space="preserve">Revenue milestone hit by deadline</t>
  </si>
  <si>
    <t xml:space="preserve">DATE</t>
  </si>
  <si>
    <t xml:space="preserve">PROMPT_ID</t>
  </si>
  <si>
    <t xml:space="preserve">PRE_SCORE</t>
  </si>
  <si>
    <t xml:space="preserve">ACTUAL_TIME</t>
  </si>
  <si>
    <t xml:space="preserve">OUTCOME</t>
  </si>
  <si>
    <t xml:space="preserve">LEARNINGS</t>
  </si>
  <si>
    <t xml:space="preserve">2026-02-26</t>
  </si>
  <si>
    <t xml:space="preserve">P001</t>
  </si>
  <si>
    <t xml:space="preserve">8min</t>
  </si>
  <si>
    <t xml:space="preserve">SUCCESS</t>
  </si>
  <si>
    <t xml:space="preserve">CoT worked well for procedural analysis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</si>
</sst>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6B6B"/>
        <bgColor rgb="FFFF6600"/>
      </patternFill>
    </fill>
    <fill>
      <patternFill patternType="solid">
        <fgColor rgb="FFFFE66D"/>
        <bgColor rgb="FFFFCC99"/>
      </patternFill>
    </fill>
    <fill>
      <patternFill patternType="solid">
        <fgColor rgb="FF6BCB77"/>
        <bgColor rgb="FF99CC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6D"/>
      <rgbColor rgb="FF99CCFF"/>
      <rgbColor rgb="FFFF99CC"/>
      <rgbColor rgb="FFCC99FF"/>
      <rgbColor rgb="FFFFCC99"/>
      <rgbColor rgb="FF3366FF"/>
      <rgbColor rgb="FF6BCB77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55.2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customFormat="false" ht="55.2" hidden="false" customHeight="false" outlineLevel="0" collapsed="false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4" t="s">
        <v>21</v>
      </c>
      <c r="H3" s="2" t="s">
        <v>22</v>
      </c>
    </row>
    <row r="4" customFormat="false" ht="41.75" hidden="false" customHeight="false" outlineLevel="0" collapsed="false">
      <c r="A4" s="2" t="s">
        <v>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4" t="s">
        <v>21</v>
      </c>
      <c r="H4" s="2" t="s">
        <v>28</v>
      </c>
    </row>
    <row r="5" customFormat="false" ht="55.2" hidden="false" customHeight="false" outlineLevel="0" collapsed="false">
      <c r="A5" s="2" t="s">
        <v>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3" t="s">
        <v>14</v>
      </c>
      <c r="H5" s="2" t="s">
        <v>34</v>
      </c>
    </row>
    <row r="6" customFormat="false" ht="55.2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5" t="s">
        <v>41</v>
      </c>
      <c r="H6" s="2" t="s">
        <v>42</v>
      </c>
    </row>
    <row r="7" customFormat="false" ht="55.2" hidden="false" customHeight="false" outlineLevel="0" collapsed="false">
      <c r="A7" s="2" t="s">
        <v>35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5" t="s">
        <v>41</v>
      </c>
      <c r="H7" s="2" t="s">
        <v>42</v>
      </c>
    </row>
    <row r="8" customFormat="false" ht="55.2" hidden="false" customHeight="false" outlineLevel="0" collapsed="false">
      <c r="A8" s="2" t="s">
        <v>35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4" t="s">
        <v>21</v>
      </c>
      <c r="H8" s="2" t="s">
        <v>42</v>
      </c>
    </row>
    <row r="9" customFormat="false" ht="55.2" hidden="false" customHeight="false" outlineLevel="0" collapsed="false">
      <c r="A9" s="2" t="s">
        <v>35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4" t="s">
        <v>21</v>
      </c>
      <c r="H9" s="2" t="s">
        <v>42</v>
      </c>
    </row>
    <row r="10" customFormat="false" ht="41.75" hidden="false" customHeight="false" outlineLevel="0" collapsed="false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5" t="s">
        <v>41</v>
      </c>
      <c r="H10" s="2" t="s">
        <v>42</v>
      </c>
    </row>
    <row r="11" customFormat="false" ht="55.2" hidden="false" customHeight="false" outlineLevel="0" collapsed="false">
      <c r="A11" s="2" t="s">
        <v>58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4" t="s">
        <v>21</v>
      </c>
      <c r="H11" s="2" t="s">
        <v>42</v>
      </c>
    </row>
    <row r="12" customFormat="false" ht="55.2" hidden="false" customHeight="false" outlineLevel="0" collapsed="false">
      <c r="A12" s="2" t="s">
        <v>58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5" t="s">
        <v>41</v>
      </c>
      <c r="H12" s="2" t="s">
        <v>42</v>
      </c>
    </row>
    <row r="13" customFormat="false" ht="55.2" hidden="false" customHeight="false" outlineLevel="0" collapsed="false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5" t="s">
        <v>41</v>
      </c>
      <c r="H13" s="2" t="s">
        <v>80</v>
      </c>
    </row>
    <row r="14" customFormat="false" ht="55.2" hidden="false" customHeight="false" outlineLevel="0" collapsed="false">
      <c r="A14" s="2" t="s">
        <v>74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4" t="s">
        <v>21</v>
      </c>
      <c r="H14" s="2" t="s">
        <v>80</v>
      </c>
    </row>
    <row r="15" customFormat="false" ht="41.75" hidden="false" customHeight="false" outlineLevel="0" collapsed="false">
      <c r="A15" s="2" t="s">
        <v>74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5" t="s">
        <v>41</v>
      </c>
      <c r="H15" s="2" t="s">
        <v>80</v>
      </c>
    </row>
    <row r="16" customFormat="false" ht="55.2" hidden="false" customHeight="false" outlineLevel="0" collapsed="false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5" t="s">
        <v>41</v>
      </c>
      <c r="H16" s="2" t="s">
        <v>42</v>
      </c>
    </row>
    <row r="17" customFormat="false" ht="41.75" hidden="false" customHeight="false" outlineLevel="0" collapsed="false">
      <c r="A17" s="2" t="s">
        <v>91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5" t="s">
        <v>41</v>
      </c>
      <c r="H17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0"/>
  </cols>
  <sheetData>
    <row r="1" customFormat="false" ht="15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customFormat="false" ht="15" hidden="false" customHeight="false" outlineLevel="0" collapsed="false">
      <c r="A2" s="6" t="s">
        <v>108</v>
      </c>
      <c r="B2" s="6" t="s">
        <v>109</v>
      </c>
      <c r="C2" s="6" t="s">
        <v>110</v>
      </c>
      <c r="D2" s="6" t="n">
        <v>2</v>
      </c>
      <c r="E2" s="7"/>
      <c r="F2" s="6" t="n">
        <f aca="false">E2*D2</f>
        <v>0</v>
      </c>
    </row>
    <row r="3" customFormat="false" ht="15" hidden="false" customHeight="false" outlineLevel="0" collapsed="false">
      <c r="A3" s="6" t="s">
        <v>111</v>
      </c>
      <c r="B3" s="6" t="s">
        <v>112</v>
      </c>
      <c r="C3" s="6" t="s">
        <v>113</v>
      </c>
      <c r="D3" s="6" t="n">
        <v>1.5</v>
      </c>
      <c r="E3" s="7"/>
      <c r="F3" s="6" t="n">
        <f aca="false">E3*D3</f>
        <v>0</v>
      </c>
    </row>
    <row r="4" customFormat="false" ht="15" hidden="false" customHeight="false" outlineLevel="0" collapsed="false">
      <c r="A4" s="6" t="s">
        <v>114</v>
      </c>
      <c r="B4" s="6" t="s">
        <v>115</v>
      </c>
      <c r="C4" s="6" t="s">
        <v>116</v>
      </c>
      <c r="D4" s="6" t="n">
        <v>1</v>
      </c>
      <c r="E4" s="7"/>
      <c r="F4" s="6" t="n">
        <f aca="false">E4*D4</f>
        <v>0</v>
      </c>
    </row>
    <row r="5" customFormat="false" ht="15" hidden="false" customHeight="false" outlineLevel="0" collapsed="false">
      <c r="A5" s="6" t="s">
        <v>117</v>
      </c>
      <c r="B5" s="6" t="s">
        <v>118</v>
      </c>
      <c r="C5" s="6" t="s">
        <v>119</v>
      </c>
      <c r="D5" s="6" t="n">
        <v>1.5</v>
      </c>
      <c r="E5" s="7"/>
      <c r="F5" s="6" t="n">
        <f aca="false">E5*D5</f>
        <v>0</v>
      </c>
    </row>
    <row r="6" customFormat="false" ht="15" hidden="false" customHeight="false" outlineLevel="0" collapsed="false">
      <c r="A6" s="6" t="s">
        <v>120</v>
      </c>
      <c r="B6" s="6" t="s">
        <v>121</v>
      </c>
      <c r="C6" s="6" t="s">
        <v>122</v>
      </c>
      <c r="D6" s="6" t="n">
        <v>1</v>
      </c>
      <c r="E6" s="7"/>
      <c r="F6" s="6" t="n">
        <f aca="false">E6*D6</f>
        <v>0</v>
      </c>
    </row>
    <row r="7" customFormat="false" ht="15" hidden="false" customHeight="false" outlineLevel="0" collapsed="false">
      <c r="A7" s="6" t="s">
        <v>123</v>
      </c>
      <c r="B7" s="6" t="s">
        <v>124</v>
      </c>
      <c r="C7" s="6" t="s">
        <v>125</v>
      </c>
      <c r="D7" s="6" t="n">
        <v>1</v>
      </c>
      <c r="E7" s="7"/>
      <c r="F7" s="6" t="n">
        <f aca="false">E7*D7</f>
        <v>0</v>
      </c>
    </row>
    <row r="8" customFormat="false" ht="15" hidden="false" customHeight="false" outlineLevel="0" collapsed="false">
      <c r="A8" s="6" t="s">
        <v>126</v>
      </c>
      <c r="B8" s="6" t="s">
        <v>127</v>
      </c>
      <c r="C8" s="6" t="s">
        <v>128</v>
      </c>
      <c r="D8" s="6" t="n">
        <v>1</v>
      </c>
      <c r="E8" s="7"/>
      <c r="F8" s="6" t="n">
        <f aca="false">E8*D8</f>
        <v>0</v>
      </c>
    </row>
    <row r="9" customFormat="false" ht="15" hidden="false" customHeight="false" outlineLevel="0" collapsed="false">
      <c r="A9" s="6" t="s">
        <v>129</v>
      </c>
      <c r="B9" s="6" t="s">
        <v>130</v>
      </c>
      <c r="C9" s="6" t="s">
        <v>131</v>
      </c>
      <c r="D9" s="6" t="n">
        <v>1.5</v>
      </c>
      <c r="E9" s="7"/>
      <c r="F9" s="6" t="n">
        <f aca="false">E9*D9</f>
        <v>0</v>
      </c>
    </row>
    <row r="10" customFormat="false" ht="15" hidden="false" customHeight="false" outlineLevel="0" collapsed="false">
      <c r="A10" s="6" t="s">
        <v>132</v>
      </c>
      <c r="B10" s="6" t="s">
        <v>133</v>
      </c>
      <c r="C10" s="6" t="s">
        <v>134</v>
      </c>
      <c r="D10" s="6" t="n">
        <v>1.5</v>
      </c>
      <c r="E10" s="7"/>
      <c r="F10" s="6" t="n">
        <f aca="false">E10*D10</f>
        <v>0</v>
      </c>
    </row>
    <row r="11" customFormat="false" ht="15" hidden="false" customHeight="false" outlineLevel="0" collapsed="false">
      <c r="A11" s="6" t="s">
        <v>135</v>
      </c>
      <c r="B11" s="6" t="s">
        <v>136</v>
      </c>
      <c r="C11" s="6" t="s">
        <v>137</v>
      </c>
      <c r="D11" s="6" t="n">
        <v>1</v>
      </c>
      <c r="E11" s="7"/>
      <c r="F11" s="6" t="n">
        <f aca="false">E11*D11</f>
        <v>0</v>
      </c>
    </row>
    <row r="12" customFormat="false" ht="15" hidden="false" customHeight="false" outlineLevel="0" collapsed="false">
      <c r="A12" s="8" t="s">
        <v>138</v>
      </c>
      <c r="F12" s="9" t="n">
        <f aca="false">SUM(F2:F11)</f>
        <v>0</v>
      </c>
    </row>
    <row r="14" customFormat="false" ht="15" hidden="false" customHeight="false" outlineLevel="0" collapsed="false">
      <c r="A14" s="8" t="s">
        <v>139</v>
      </c>
    </row>
    <row r="15" customFormat="false" ht="15" hidden="false" customHeight="false" outlineLevel="0" collapsed="false">
      <c r="A15" s="0" t="s">
        <v>140</v>
      </c>
    </row>
    <row r="16" customFormat="false" ht="15" hidden="false" customHeight="false" outlineLevel="0" collapsed="false">
      <c r="A16" s="0" t="s">
        <v>141</v>
      </c>
    </row>
    <row r="17" customFormat="false" ht="15" hidden="false" customHeight="false" outlineLevel="0" collapsed="false">
      <c r="A17" s="0" t="s">
        <v>142</v>
      </c>
    </row>
    <row r="18" customFormat="false" ht="15" hidden="false" customHeight="false" outlineLevel="0" collapsed="false">
      <c r="A18" s="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144</v>
      </c>
      <c r="B1" s="1" t="s">
        <v>103</v>
      </c>
      <c r="C1" s="1" t="s">
        <v>145</v>
      </c>
      <c r="D1" s="1" t="s">
        <v>7</v>
      </c>
      <c r="E1" s="1" t="s">
        <v>146</v>
      </c>
      <c r="F1" s="1" t="s">
        <v>147</v>
      </c>
    </row>
    <row r="2" customFormat="false" ht="28.35" hidden="false" customHeight="false" outlineLevel="0" collapsed="false">
      <c r="A2" s="2" t="s">
        <v>148</v>
      </c>
      <c r="B2" s="2" t="s">
        <v>149</v>
      </c>
      <c r="C2" s="2" t="s">
        <v>150</v>
      </c>
      <c r="D2" s="2" t="s">
        <v>151</v>
      </c>
      <c r="E2" s="2" t="s">
        <v>152</v>
      </c>
      <c r="F2" s="2" t="s">
        <v>153</v>
      </c>
    </row>
    <row r="3" customFormat="false" ht="28.35" hidden="false" customHeight="false" outlineLevel="0" collapsed="false">
      <c r="A3" s="2" t="s">
        <v>154</v>
      </c>
      <c r="B3" s="2" t="s">
        <v>155</v>
      </c>
      <c r="C3" s="2" t="s">
        <v>156</v>
      </c>
      <c r="D3" s="2" t="s">
        <v>15</v>
      </c>
      <c r="E3" s="2" t="s">
        <v>157</v>
      </c>
      <c r="F3" s="2" t="s">
        <v>158</v>
      </c>
    </row>
    <row r="4" customFormat="false" ht="15" hidden="false" customHeight="false" outlineLevel="0" collapsed="false">
      <c r="A4" s="2" t="s">
        <v>159</v>
      </c>
      <c r="B4" s="2" t="s">
        <v>160</v>
      </c>
      <c r="C4" s="2" t="s">
        <v>161</v>
      </c>
      <c r="D4" s="2" t="s">
        <v>42</v>
      </c>
      <c r="E4" s="2" t="s">
        <v>157</v>
      </c>
      <c r="F4" s="2" t="s">
        <v>162</v>
      </c>
    </row>
    <row r="5" customFormat="false" ht="28.35" hidden="false" customHeight="false" outlineLevel="0" collapsed="false">
      <c r="A5" s="2" t="s">
        <v>163</v>
      </c>
      <c r="B5" s="2" t="s">
        <v>164</v>
      </c>
      <c r="C5" s="2" t="s">
        <v>165</v>
      </c>
      <c r="D5" s="2" t="s">
        <v>28</v>
      </c>
      <c r="E5" s="2" t="s">
        <v>152</v>
      </c>
      <c r="F5" s="2" t="s">
        <v>153</v>
      </c>
    </row>
    <row r="6" customFormat="false" ht="28.35" hidden="false" customHeight="false" outlineLevel="0" collapsed="false">
      <c r="A6" s="2" t="s">
        <v>166</v>
      </c>
      <c r="B6" s="2" t="s">
        <v>167</v>
      </c>
      <c r="C6" s="2" t="s">
        <v>168</v>
      </c>
      <c r="D6" s="2" t="s">
        <v>169</v>
      </c>
      <c r="E6" s="2" t="s">
        <v>152</v>
      </c>
      <c r="F6" s="2" t="s">
        <v>153</v>
      </c>
    </row>
    <row r="7" customFormat="false" ht="28.35" hidden="false" customHeight="false" outlineLevel="0" collapsed="false">
      <c r="A7" s="2" t="s">
        <v>170</v>
      </c>
      <c r="B7" s="2" t="s">
        <v>171</v>
      </c>
      <c r="C7" s="2" t="s">
        <v>172</v>
      </c>
      <c r="D7" s="2" t="s">
        <v>151</v>
      </c>
      <c r="E7" s="2" t="s">
        <v>157</v>
      </c>
      <c r="F7" s="2" t="s">
        <v>162</v>
      </c>
    </row>
    <row r="8" customFormat="false" ht="15" hidden="false" customHeight="false" outlineLevel="0" collapsed="false">
      <c r="A8" s="2" t="s">
        <v>173</v>
      </c>
      <c r="B8" s="2" t="s">
        <v>174</v>
      </c>
      <c r="C8" s="2" t="s">
        <v>175</v>
      </c>
      <c r="D8" s="2" t="s">
        <v>176</v>
      </c>
      <c r="E8" s="2" t="s">
        <v>177</v>
      </c>
      <c r="F8" s="2" t="s">
        <v>178</v>
      </c>
    </row>
    <row r="9" customFormat="false" ht="28.35" hidden="false" customHeight="false" outlineLevel="0" collapsed="false">
      <c r="A9" s="2" t="s">
        <v>179</v>
      </c>
      <c r="B9" s="2" t="s">
        <v>180</v>
      </c>
      <c r="C9" s="2" t="s">
        <v>181</v>
      </c>
      <c r="D9" s="2" t="s">
        <v>182</v>
      </c>
      <c r="E9" s="2" t="s">
        <v>177</v>
      </c>
      <c r="F9" s="2" t="s">
        <v>178</v>
      </c>
    </row>
    <row r="10" customFormat="false" ht="15" hidden="false" customHeight="false" outlineLevel="0" collapsed="false">
      <c r="A10" s="2" t="s">
        <v>183</v>
      </c>
      <c r="B10" s="2" t="s">
        <v>184</v>
      </c>
      <c r="C10" s="2" t="s">
        <v>185</v>
      </c>
      <c r="D10" s="2" t="s">
        <v>42</v>
      </c>
      <c r="E10" s="2" t="s">
        <v>157</v>
      </c>
      <c r="F10" s="2" t="s">
        <v>158</v>
      </c>
    </row>
    <row r="11" customFormat="false" ht="28.35" hidden="false" customHeight="false" outlineLevel="0" collapsed="false">
      <c r="A11" s="2" t="s">
        <v>186</v>
      </c>
      <c r="B11" s="2" t="s">
        <v>187</v>
      </c>
      <c r="C11" s="2" t="s">
        <v>188</v>
      </c>
      <c r="D11" s="2" t="s">
        <v>42</v>
      </c>
      <c r="E11" s="2" t="s">
        <v>152</v>
      </c>
      <c r="F11" s="2" t="s">
        <v>153</v>
      </c>
    </row>
    <row r="12" customFormat="false" ht="15" hidden="false" customHeight="false" outlineLevel="0" collapsed="false">
      <c r="A12" s="2" t="s">
        <v>189</v>
      </c>
      <c r="B12" s="2" t="s">
        <v>190</v>
      </c>
      <c r="C12" s="2" t="s">
        <v>191</v>
      </c>
      <c r="D12" s="2" t="s">
        <v>15</v>
      </c>
      <c r="E12" s="2" t="s">
        <v>177</v>
      </c>
      <c r="F12" s="2" t="s">
        <v>178</v>
      </c>
    </row>
    <row r="13" customFormat="false" ht="28.35" hidden="false" customHeight="false" outlineLevel="0" collapsed="false">
      <c r="A13" s="2" t="s">
        <v>192</v>
      </c>
      <c r="B13" s="2" t="s">
        <v>193</v>
      </c>
      <c r="C13" s="2" t="s">
        <v>194</v>
      </c>
      <c r="D13" s="2" t="s">
        <v>195</v>
      </c>
      <c r="E13" s="2" t="s">
        <v>177</v>
      </c>
      <c r="F13" s="2" t="s">
        <v>196</v>
      </c>
    </row>
    <row r="14" customFormat="false" ht="15" hidden="false" customHeight="false" outlineLevel="0" collapsed="false">
      <c r="A14" s="2" t="s">
        <v>197</v>
      </c>
      <c r="B14" s="2" t="s">
        <v>198</v>
      </c>
      <c r="C14" s="2" t="s">
        <v>199</v>
      </c>
      <c r="D14" s="2" t="s">
        <v>15</v>
      </c>
      <c r="E14" s="2" t="s">
        <v>157</v>
      </c>
      <c r="F14" s="2" t="s">
        <v>158</v>
      </c>
    </row>
    <row r="15" customFormat="false" ht="28.35" hidden="false" customHeight="false" outlineLevel="0" collapsed="false">
      <c r="A15" s="2" t="s">
        <v>200</v>
      </c>
      <c r="B15" s="2" t="s">
        <v>201</v>
      </c>
      <c r="C15" s="2" t="s">
        <v>202</v>
      </c>
      <c r="D15" s="2" t="s">
        <v>15</v>
      </c>
      <c r="E15" s="2" t="s">
        <v>152</v>
      </c>
      <c r="F15" s="2" t="s">
        <v>153</v>
      </c>
    </row>
    <row r="16" customFormat="false" ht="41.75" hidden="false" customHeight="false" outlineLevel="0" collapsed="false">
      <c r="A16" s="2" t="s">
        <v>203</v>
      </c>
      <c r="B16" s="2" t="s">
        <v>204</v>
      </c>
      <c r="C16" s="2" t="s">
        <v>205</v>
      </c>
      <c r="D16" s="2" t="s">
        <v>15</v>
      </c>
      <c r="E16" s="2" t="s">
        <v>152</v>
      </c>
      <c r="F16" s="2" t="s">
        <v>153</v>
      </c>
    </row>
    <row r="17" customFormat="false" ht="28.35" hidden="false" customHeight="false" outlineLevel="0" collapsed="false">
      <c r="A17" s="2" t="s">
        <v>206</v>
      </c>
      <c r="B17" s="2" t="s">
        <v>207</v>
      </c>
      <c r="C17" s="2" t="s">
        <v>208</v>
      </c>
      <c r="D17" s="2" t="s">
        <v>195</v>
      </c>
      <c r="E17" s="2" t="s">
        <v>152</v>
      </c>
      <c r="F17" s="2" t="s">
        <v>196</v>
      </c>
    </row>
    <row r="18" customFormat="false" ht="15" hidden="false" customHeight="false" outlineLevel="0" collapsed="false">
      <c r="A18" s="2" t="s">
        <v>209</v>
      </c>
      <c r="B18" s="2" t="s">
        <v>210</v>
      </c>
      <c r="C18" s="2" t="s">
        <v>211</v>
      </c>
      <c r="D18" s="2" t="s">
        <v>195</v>
      </c>
      <c r="E18" s="2" t="s">
        <v>177</v>
      </c>
      <c r="F18" s="2" t="s">
        <v>212</v>
      </c>
    </row>
    <row r="19" customFormat="false" ht="15" hidden="false" customHeight="false" outlineLevel="0" collapsed="false">
      <c r="A19" s="2" t="s">
        <v>213</v>
      </c>
      <c r="B19" s="2" t="s">
        <v>214</v>
      </c>
      <c r="C19" s="2" t="s">
        <v>215</v>
      </c>
      <c r="D19" s="2" t="s">
        <v>195</v>
      </c>
      <c r="E19" s="2" t="s">
        <v>177</v>
      </c>
      <c r="F19" s="2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0" t="s">
        <v>217</v>
      </c>
      <c r="B1" s="10" t="s">
        <v>218</v>
      </c>
      <c r="C1" s="10" t="s">
        <v>103</v>
      </c>
      <c r="D1" s="10" t="s">
        <v>219</v>
      </c>
      <c r="E1" s="10" t="s">
        <v>220</v>
      </c>
    </row>
    <row r="2" customFormat="false" ht="28.35" hidden="false" customHeight="false" outlineLevel="0" collapsed="false">
      <c r="A2" s="2" t="s">
        <v>221</v>
      </c>
      <c r="B2" s="2" t="s">
        <v>222</v>
      </c>
      <c r="C2" s="2" t="s">
        <v>223</v>
      </c>
      <c r="D2" s="2" t="s">
        <v>224</v>
      </c>
      <c r="E2" s="2" t="s">
        <v>225</v>
      </c>
    </row>
    <row r="3" customFormat="false" ht="15" hidden="false" customHeight="false" outlineLevel="0" collapsed="false">
      <c r="A3" s="2" t="s">
        <v>221</v>
      </c>
      <c r="B3" s="2" t="s">
        <v>226</v>
      </c>
      <c r="C3" s="2" t="s">
        <v>227</v>
      </c>
      <c r="D3" s="2" t="s">
        <v>228</v>
      </c>
      <c r="E3" s="2" t="s">
        <v>225</v>
      </c>
    </row>
    <row r="4" customFormat="false" ht="15" hidden="false" customHeight="false" outlineLevel="0" collapsed="false">
      <c r="A4" s="2" t="s">
        <v>221</v>
      </c>
      <c r="B4" s="2" t="s">
        <v>229</v>
      </c>
      <c r="C4" s="2" t="s">
        <v>230</v>
      </c>
      <c r="D4" s="2" t="s">
        <v>231</v>
      </c>
      <c r="E4" s="2" t="s">
        <v>225</v>
      </c>
    </row>
    <row r="5" customFormat="false" ht="15" hidden="false" customHeight="false" outlineLevel="0" collapsed="false">
      <c r="A5" s="2" t="s">
        <v>232</v>
      </c>
      <c r="B5" s="2" t="s">
        <v>233</v>
      </c>
      <c r="C5" s="2" t="s">
        <v>234</v>
      </c>
      <c r="D5" s="2" t="s">
        <v>235</v>
      </c>
      <c r="E5" s="2" t="s">
        <v>225</v>
      </c>
    </row>
    <row r="6" customFormat="false" ht="15" hidden="false" customHeight="false" outlineLevel="0" collapsed="false">
      <c r="A6" s="2" t="s">
        <v>232</v>
      </c>
      <c r="B6" s="2" t="s">
        <v>236</v>
      </c>
      <c r="C6" s="2" t="s">
        <v>237</v>
      </c>
      <c r="D6" s="2" t="s">
        <v>238</v>
      </c>
      <c r="E6" s="2" t="s">
        <v>225</v>
      </c>
    </row>
    <row r="7" customFormat="false" ht="28.35" hidden="false" customHeight="false" outlineLevel="0" collapsed="false">
      <c r="A7" s="2" t="s">
        <v>232</v>
      </c>
      <c r="B7" s="2" t="s">
        <v>239</v>
      </c>
      <c r="C7" s="2" t="s">
        <v>240</v>
      </c>
      <c r="D7" s="2" t="s">
        <v>241</v>
      </c>
      <c r="E7" s="2" t="s">
        <v>225</v>
      </c>
    </row>
    <row r="8" customFormat="false" ht="28.35" hidden="false" customHeight="false" outlineLevel="0" collapsed="false">
      <c r="A8" s="2" t="s">
        <v>232</v>
      </c>
      <c r="B8" s="2" t="s">
        <v>242</v>
      </c>
      <c r="C8" s="2" t="s">
        <v>243</v>
      </c>
      <c r="D8" s="2" t="s">
        <v>244</v>
      </c>
      <c r="E8" s="2" t="s">
        <v>245</v>
      </c>
    </row>
    <row r="9" customFormat="false" ht="28.35" hidden="false" customHeight="false" outlineLevel="0" collapsed="false">
      <c r="A9" s="2" t="s">
        <v>246</v>
      </c>
      <c r="B9" s="2" t="s">
        <v>247</v>
      </c>
      <c r="C9" s="2" t="s">
        <v>248</v>
      </c>
      <c r="D9" s="2" t="s">
        <v>249</v>
      </c>
      <c r="E9" s="2" t="s">
        <v>245</v>
      </c>
    </row>
    <row r="10" customFormat="false" ht="28.35" hidden="false" customHeight="false" outlineLevel="0" collapsed="false">
      <c r="A10" s="2" t="s">
        <v>246</v>
      </c>
      <c r="B10" s="2" t="s">
        <v>250</v>
      </c>
      <c r="C10" s="2" t="s">
        <v>251</v>
      </c>
      <c r="D10" s="2" t="s">
        <v>252</v>
      </c>
      <c r="E10" s="2" t="s">
        <v>245</v>
      </c>
    </row>
    <row r="11" customFormat="false" ht="28.35" hidden="false" customHeight="false" outlineLevel="0" collapsed="false">
      <c r="A11" s="2" t="s">
        <v>246</v>
      </c>
      <c r="B11" s="2" t="s">
        <v>253</v>
      </c>
      <c r="C11" s="2" t="s">
        <v>254</v>
      </c>
      <c r="D11" s="2" t="s">
        <v>255</v>
      </c>
      <c r="E11" s="2" t="s">
        <v>245</v>
      </c>
    </row>
    <row r="12" customFormat="false" ht="28.35" hidden="false" customHeight="false" outlineLevel="0" collapsed="false">
      <c r="A12" s="2" t="s">
        <v>256</v>
      </c>
      <c r="B12" s="2" t="s">
        <v>257</v>
      </c>
      <c r="C12" s="2" t="s">
        <v>258</v>
      </c>
      <c r="D12" s="2" t="s">
        <v>259</v>
      </c>
      <c r="E12" s="2" t="s">
        <v>245</v>
      </c>
    </row>
    <row r="13" customFormat="false" ht="28.35" hidden="false" customHeight="false" outlineLevel="0" collapsed="false">
      <c r="A13" s="2" t="s">
        <v>256</v>
      </c>
      <c r="B13" s="2" t="s">
        <v>260</v>
      </c>
      <c r="C13" s="2" t="s">
        <v>261</v>
      </c>
      <c r="D13" s="2" t="s">
        <v>262</v>
      </c>
      <c r="E13" s="2" t="s">
        <v>245</v>
      </c>
    </row>
    <row r="14" customFormat="false" ht="28.35" hidden="false" customHeight="false" outlineLevel="0" collapsed="false">
      <c r="A14" s="2" t="s">
        <v>256</v>
      </c>
      <c r="B14" s="2" t="s">
        <v>263</v>
      </c>
      <c r="C14" s="2" t="s">
        <v>264</v>
      </c>
      <c r="D14" s="2" t="s">
        <v>265</v>
      </c>
      <c r="E14" s="2" t="s">
        <v>245</v>
      </c>
    </row>
    <row r="15" customFormat="false" ht="15" hidden="false" customHeight="false" outlineLevel="0" collapsed="false">
      <c r="A15" s="2" t="s">
        <v>266</v>
      </c>
      <c r="B15" s="2" t="s">
        <v>267</v>
      </c>
      <c r="C15" s="2" t="s">
        <v>268</v>
      </c>
      <c r="D15" s="2" t="s">
        <v>269</v>
      </c>
      <c r="E15" s="2" t="s">
        <v>225</v>
      </c>
    </row>
    <row r="16" customFormat="false" ht="15" hidden="false" customHeight="false" outlineLevel="0" collapsed="false">
      <c r="A16" s="2" t="s">
        <v>266</v>
      </c>
      <c r="B16" s="2" t="s">
        <v>270</v>
      </c>
      <c r="C16" s="2" t="s">
        <v>271</v>
      </c>
      <c r="D16" s="2" t="s">
        <v>272</v>
      </c>
      <c r="E16" s="2" t="s">
        <v>225</v>
      </c>
    </row>
    <row r="17" customFormat="false" ht="28.35" hidden="false" customHeight="false" outlineLevel="0" collapsed="false">
      <c r="A17" s="2" t="s">
        <v>266</v>
      </c>
      <c r="B17" s="2" t="s">
        <v>273</v>
      </c>
      <c r="C17" s="2" t="s">
        <v>274</v>
      </c>
      <c r="D17" s="2" t="s">
        <v>275</v>
      </c>
      <c r="E17" s="2" t="s">
        <v>245</v>
      </c>
    </row>
    <row r="18" customFormat="false" ht="15" hidden="false" customHeight="false" outlineLevel="0" collapsed="false">
      <c r="A18" s="2" t="s">
        <v>276</v>
      </c>
      <c r="B18" s="2" t="s">
        <v>277</v>
      </c>
      <c r="C18" s="2" t="s">
        <v>278</v>
      </c>
      <c r="D18" s="2" t="s">
        <v>279</v>
      </c>
      <c r="E18" s="2" t="s">
        <v>225</v>
      </c>
    </row>
    <row r="19" customFormat="false" ht="15" hidden="false" customHeight="false" outlineLevel="0" collapsed="false">
      <c r="A19" s="2" t="s">
        <v>276</v>
      </c>
      <c r="B19" s="2" t="s">
        <v>280</v>
      </c>
      <c r="C19" s="2" t="s">
        <v>281</v>
      </c>
      <c r="D19" s="2" t="s">
        <v>282</v>
      </c>
      <c r="E19" s="2" t="s">
        <v>225</v>
      </c>
    </row>
    <row r="20" customFormat="false" ht="15" hidden="false" customHeight="false" outlineLevel="0" collapsed="false">
      <c r="A20" s="2" t="s">
        <v>276</v>
      </c>
      <c r="B20" s="2" t="s">
        <v>283</v>
      </c>
      <c r="C20" s="2" t="s">
        <v>284</v>
      </c>
      <c r="D20" s="2" t="s">
        <v>285</v>
      </c>
      <c r="E20" s="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5"/>
  </cols>
  <sheetData>
    <row r="1" customFormat="false" ht="15" hidden="false" customHeight="false" outlineLevel="0" collapsed="false">
      <c r="A1" s="11" t="s">
        <v>286</v>
      </c>
      <c r="B1" s="11" t="s">
        <v>287</v>
      </c>
      <c r="C1" s="11" t="s">
        <v>288</v>
      </c>
      <c r="D1" s="11" t="s">
        <v>289</v>
      </c>
      <c r="E1" s="11" t="s">
        <v>290</v>
      </c>
    </row>
    <row r="2" customFormat="false" ht="28.35" hidden="false" customHeight="false" outlineLevel="0" collapsed="false">
      <c r="A2" s="12" t="s">
        <v>291</v>
      </c>
      <c r="B2" s="12" t="s">
        <v>292</v>
      </c>
      <c r="C2" s="13" t="s">
        <v>293</v>
      </c>
      <c r="D2" s="12" t="s">
        <v>8</v>
      </c>
      <c r="E2" s="12" t="s">
        <v>294</v>
      </c>
    </row>
    <row r="3" customFormat="false" ht="28.35" hidden="false" customHeight="false" outlineLevel="0" collapsed="false">
      <c r="A3" s="12" t="s">
        <v>22</v>
      </c>
      <c r="B3" s="12" t="s">
        <v>295</v>
      </c>
      <c r="C3" s="13" t="s">
        <v>293</v>
      </c>
      <c r="D3" s="12" t="s">
        <v>8</v>
      </c>
      <c r="E3" s="12" t="s">
        <v>296</v>
      </c>
    </row>
    <row r="4" customFormat="false" ht="28.35" hidden="false" customHeight="false" outlineLevel="0" collapsed="false">
      <c r="A4" s="12" t="s">
        <v>34</v>
      </c>
      <c r="B4" s="12" t="s">
        <v>297</v>
      </c>
      <c r="C4" s="13" t="s">
        <v>293</v>
      </c>
      <c r="D4" s="12" t="s">
        <v>298</v>
      </c>
      <c r="E4" s="12" t="s">
        <v>299</v>
      </c>
    </row>
    <row r="5" customFormat="false" ht="28.35" hidden="false" customHeight="false" outlineLevel="0" collapsed="false">
      <c r="A5" s="12" t="s">
        <v>80</v>
      </c>
      <c r="B5" s="12" t="s">
        <v>300</v>
      </c>
      <c r="C5" s="14" t="s">
        <v>301</v>
      </c>
      <c r="D5" s="12" t="s">
        <v>74</v>
      </c>
      <c r="E5" s="12" t="s">
        <v>302</v>
      </c>
    </row>
    <row r="6" customFormat="false" ht="28.35" hidden="false" customHeight="false" outlineLevel="0" collapsed="false">
      <c r="A6" s="12" t="s">
        <v>42</v>
      </c>
      <c r="B6" s="12" t="s">
        <v>303</v>
      </c>
      <c r="C6" s="14" t="s">
        <v>301</v>
      </c>
      <c r="D6" s="12" t="s">
        <v>35</v>
      </c>
      <c r="E6" s="12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15" hidden="false" customHeight="false" outlineLevel="0" collapsed="false">
      <c r="A1" s="15" t="s">
        <v>305</v>
      </c>
      <c r="B1" s="15" t="s">
        <v>306</v>
      </c>
      <c r="C1" s="15" t="s">
        <v>0</v>
      </c>
      <c r="D1" s="15" t="s">
        <v>287</v>
      </c>
      <c r="E1" s="15" t="s">
        <v>307</v>
      </c>
      <c r="F1" s="15" t="s">
        <v>147</v>
      </c>
      <c r="G1" s="15" t="s">
        <v>308</v>
      </c>
      <c r="H1" s="15" t="s">
        <v>309</v>
      </c>
      <c r="I1" s="15" t="s">
        <v>310</v>
      </c>
    </row>
    <row r="2" customFormat="false" ht="15" hidden="false" customHeight="false" outlineLevel="0" collapsed="false">
      <c r="A2" s="6" t="s">
        <v>311</v>
      </c>
      <c r="B2" s="6" t="s">
        <v>312</v>
      </c>
      <c r="C2" s="6" t="s">
        <v>8</v>
      </c>
      <c r="D2" s="6" t="s">
        <v>22</v>
      </c>
      <c r="E2" s="6" t="n">
        <v>118</v>
      </c>
      <c r="F2" s="6" t="s">
        <v>196</v>
      </c>
      <c r="G2" s="6" t="s">
        <v>313</v>
      </c>
      <c r="H2" s="6" t="s">
        <v>314</v>
      </c>
      <c r="I2" s="6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2026-02-26T09:51:11Z</dcterms:created>
  <dc:creator>openpyxl</dc:creator>
  <dc:description/>
  <dc:language>en-US</dc:language>
  <cp:lastModifiedBy/>
  <dcterms:modified xsi:type="dcterms:W3CDTF">2026-02-26T09:51:11Z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